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ech Stack - All Layers" sheetId="1" state="visible" r:id="rId3"/>
    <sheet name="DIGIT eGov Integration" sheetId="2" state="visible" r:id="rId4"/>
    <sheet name="Consolidated Summary" sheetId="3" state="visible" r:id="rId5"/>
    <sheet name="Deferred &amp; Conditional Decision" sheetId="4" state="visible" r:id="rId6"/>
    <sheet name="Key Architecture Principles" sheetId="5" state="visible" r:id="rId7"/>
    <sheet name="HOW TO READ THIS DOCUMENT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<sst xmlns="http://schemas.openxmlformats.org/spreadsheetml/2006/main" count="1964" uniqueCount="906">
  <si>
    <t xml:space="preserve">Layer</t>
  </si>
  <si>
    <t xml:space="preserve">Component / Function</t>
  </si>
  <si>
    <t xml:space="preserve">Product / Technology</t>
  </si>
  <si>
    <t xml:space="preserve">Licence</t>
  </si>
  <si>
    <t xml:space="preserve">Open Source?</t>
  </si>
  <si>
    <t xml:space="preserve">Enterprise Support?</t>
  </si>
  <si>
    <t xml:space="preserve">Notes</t>
  </si>
  <si>
    <t xml:space="preserve">L1 — Frontend / Presentation</t>
  </si>
  <si>
    <t xml:space="preserve">Web Portal Framework</t>
  </si>
  <si>
    <t xml:space="preserve">React 18 + Next.js 14</t>
  </si>
  <si>
    <t xml:space="preserve">MIT</t>
  </si>
  <si>
    <t xml:space="preserve">Yes</t>
  </si>
  <si>
    <t xml:space="preserve">No</t>
  </si>
  <si>
    <t xml:space="preserve">SSR + SSG; PWA capability; bilingual</t>
  </si>
  <si>
    <t xml:space="preserve">Mobile App — Android</t>
  </si>
  <si>
    <t xml:space="preserve">Kotlin + Jetpack Compose</t>
  </si>
  <si>
    <t xml:space="preserve">Apache 2.0</t>
  </si>
  <si>
    <t xml:space="preserve">Native Android; offline-first for field inspection</t>
  </si>
  <si>
    <t xml:space="preserve">Mobile App — iOS</t>
  </si>
  <si>
    <t xml:space="preserve">Swift + SwiftUI</t>
  </si>
  <si>
    <t xml:space="preserve">Apple Proprietary (no cost)</t>
  </si>
  <si>
    <t xml:space="preserve">Partial</t>
  </si>
  <si>
    <t xml:space="preserve">No licensing cost to developer</t>
  </si>
  <si>
    <t xml:space="preserve">Form Engine</t>
  </si>
  <si>
    <t xml:space="preserve">Formio (Community)</t>
  </si>
  <si>
    <t xml:space="preserve">No-code form builder; 500+ service forms</t>
  </si>
  <si>
    <t xml:space="preserve">Bilingual / i18n</t>
  </si>
  <si>
    <t xml:space="preserve">i18next + react-i18next</t>
  </si>
  <si>
    <t xml:space="preserve">Gujarati + English across all UI screens</t>
  </si>
  <si>
    <t xml:space="preserve">Real-time UI Push</t>
  </si>
  <si>
    <t xml:space="preserve">Spring WebSocket (STOMP/SockJS)</t>
  </si>
  <si>
    <t xml:space="preserve">SLA countdowns, live queue updates, status push</t>
  </si>
  <si>
    <t xml:space="preserve">L2 — API Gateway &amp; Management</t>
  </si>
  <si>
    <t xml:space="preserve">API Gateway + Developer Portal + API Lifecycle</t>
  </si>
  <si>
    <t xml:space="preserve">WSO2 API Manager</t>
  </si>
  <si>
    <t xml:space="preserve">Apache 2.0 (core)</t>
  </si>
  <si>
    <t xml:space="preserve">Yes — WSO2 commercial (RFP mandates enterprise support for all third-party products)</t>
  </si>
  <si>
    <t xml:space="preserve">Single gateway; rate limiting, OAuth2/JWT, throttling, sandbox, API analytics, deprecation lifecycle</t>
  </si>
  <si>
    <t xml:space="preserve">L3 — Backend Microservices Runtime</t>
  </si>
  <si>
    <t xml:space="preserve">Primary Microservices Framework</t>
  </si>
  <si>
    <t xml:space="preserve">Spring Boot 3.x (Java 21 LTS)</t>
  </si>
  <si>
    <t xml:space="preserve">50 microservices; REST APIs, Kafka consumers, batch workers</t>
  </si>
  <si>
    <t xml:space="preserve">Async / Reactive Services</t>
  </si>
  <si>
    <t xml:space="preserve">Vert.x</t>
  </si>
  <si>
    <t xml:space="preserve">High-throughput async only (notification dispatch, streaming APIs)</t>
  </si>
  <si>
    <t xml:space="preserve">Resilience / Circuit Breaker</t>
  </si>
  <si>
    <t xml:space="preserve">Resilience4j</t>
  </si>
  <si>
    <t xml:space="preserve">Embedded in Spring Boot; circuit breakers, retry, bulkheads</t>
  </si>
  <si>
    <t xml:space="preserve">L4 — Container Platform &amp; Service Mesh</t>
  </si>
  <si>
    <t xml:space="preserve">Container Orchestration Platform</t>
  </si>
  <si>
    <t xml:space="preserve">Red Hat OpenShift Container Platform (OCP)</t>
  </si>
  <si>
    <t xml:space="preserve">Red Hat Commercial</t>
  </si>
  <si>
    <t xml:space="preserve">No (commercial)</t>
  </si>
  <si>
    <t xml:space="preserve">Yes — included in OCP subscription</t>
  </si>
  <si>
    <t xml:space="preserve">HPA auto-scaling, rolling deployments, multi-namespace isolation</t>
  </si>
  <si>
    <t xml:space="preserve">Service Mesh (mTLS, traffic, observability)</t>
  </si>
  <si>
    <t xml:space="preserve">OpenShift Service Mesh 3.x (Istio 1.27 + Envoy + Kiali)</t>
  </si>
  <si>
    <t xml:space="preserve">Apache 2.0 (bundled in OCP)</t>
  </si>
  <si>
    <t xml:space="preserve">Yes — bundled in OCP subscription</t>
  </si>
  <si>
    <t xml:space="preserve">Zero-trust mTLS, canary deployments, service-to-service tracing. NO separate licence.</t>
  </si>
  <si>
    <t xml:space="preserve">L5 — Identity, Access &amp; Security Policy</t>
  </si>
  <si>
    <t xml:space="preserve">Identity Provider / SSO</t>
  </si>
  <si>
    <t xml:space="preserve">Keycloak</t>
  </si>
  <si>
    <t xml:space="preserve">Citizen realm + Officer realm; OIDC/OAuth2/SAML2; MFA; eSuvidha migration bridge</t>
  </si>
  <si>
    <t xml:space="preserve">RBAC / ABAC Policy Engine</t>
  </si>
  <si>
    <t xml:space="preserve">OpenPolicyAgent (OPA)</t>
  </si>
  <si>
    <t xml:space="preserve">Rego policy library; 20+ officer role policies; separation-of-duties enforcement</t>
  </si>
  <si>
    <t xml:space="preserve">Bot Protection / CAPTCHA</t>
  </si>
  <si>
    <t xml:space="preserve">ALTCHA</t>
  </si>
  <si>
    <t xml:space="preserve">Proof-of-work; self-hosted; no tracking; DPDP/GDPR safe; replaces hCaptcha</t>
  </si>
  <si>
    <t xml:space="preserve">Secrets Management</t>
  </si>
  <si>
    <t xml:space="preserve">HashiCorp Vault (Community)</t>
  </si>
  <si>
    <t xml:space="preserve">BSL (open core)</t>
  </si>
  <si>
    <t xml:space="preserve">Dynamic secrets for microservices; TLS cert rotation</t>
  </si>
  <si>
    <t xml:space="preserve">HSM</t>
  </si>
  <si>
    <t xml:space="preserve">Client-provided (DST/GSDC)</t>
  </si>
  <si>
    <t xml:space="preserve">N/A</t>
  </si>
  <si>
    <t xml:space="preserve">Provided by DST as GSDC infrastructure. MSP integrates only.</t>
  </si>
  <si>
    <t xml:space="preserve">L6 — Workflow &amp; Business Rules</t>
  </si>
  <si>
    <t xml:space="preserve">BPMN Workflow Engine</t>
  </si>
  <si>
    <t xml:space="preserve">Flowable Open Source</t>
  </si>
  <si>
    <t xml:space="preserve">v4 DIGIT UPDATE: egov-workflow-v2 (DIGIT) replaces Flowable as primary workflow engine. DIGIT handles BPMN state transitions, officer inbox, SLA timers, escalation triggers. 40 DG 2.0 BPMN templates parameterised on top via DIGIT workflow configuration API.</t>
  </si>
  <si>
    <t xml:space="preserve">Business Rules Engine (Fee + Eligibility)</t>
  </si>
  <si>
    <t xml:space="preserve">Drools / Kogito (Apache)</t>
  </si>
  <si>
    <t xml:space="preserve">Fee slab/range/exemption calculation and eligibility determination only</t>
  </si>
  <si>
    <t xml:space="preserve">L7 — Data Stores (Polyglot)</t>
  </si>
  <si>
    <t xml:space="preserve">Relational DB — Primary OLTP</t>
  </si>
  <si>
    <t xml:space="preserve">PostgreSQL 16</t>
  </si>
  <si>
    <t xml:space="preserve">PostgreSQL Licence (permissive)</t>
  </si>
  <si>
    <t xml:space="preserve">Yes — EDB enterprise support (RFP 3.1.9.2 mandates RDBMS enterprise support)</t>
  </si>
  <si>
    <t xml:space="preserve">All microservice primary stores; ACID; JSONB (replaces MongoDB — CAF nested attributes, family/properties/employment data); ltree for hierarchies; pgvector extension. SSPL risk eliminated — MongoDB removed v4.2.</t>
  </si>
  <si>
    <t xml:space="preserve">In-memory Cache / Session Store</t>
  </si>
  <si>
    <t xml:space="preserve">Valkey 8.1</t>
  </si>
  <si>
    <t xml:space="preserve">BSD 3-Clause</t>
  </si>
  <si>
    <t xml:space="preserve">Form pre-fill cache, session tokens, draft hot-tier, rate-limit counters. Redis replacement. 8% faster, 20% lower memory.</t>
  </si>
  <si>
    <t xml:space="preserve">Search / Full-text / Dedup Engine</t>
  </si>
  <si>
    <t xml:space="preserve">OpenSearch 2.x</t>
  </si>
  <si>
    <t xml:space="preserve">Service search, citizen dedup, application search, audit log search. Replaces Elasticsearch (SSPL licensing risk).</t>
  </si>
  <si>
    <t xml:space="preserve">Vector / Semantic Search</t>
  </si>
  <si>
    <t xml:space="preserve">pgvector (PostgreSQL extension)</t>
  </si>
  <si>
    <t xml:space="preserve">PostgreSQL Licence</t>
  </si>
  <si>
    <t xml:space="preserve">Semantic search for service discovery, chatbot intent, eligibility recommendations. Runs inside existing PG cluster. No new infra.</t>
  </si>
  <si>
    <t xml:space="preserve">Time-series Data Store</t>
  </si>
  <si>
    <t xml:space="preserve">TimescaleDB (PostgreSQL extension)</t>
  </si>
  <si>
    <t xml:space="preserve">Apache 2.0 (Community)</t>
  </si>
  <si>
    <t xml:space="preserve">Time-series data store for IoT sensor feeds, AQI measurements, and SLA metric time-series. Runs as a PostgreSQL extension — no separate infrastructure. Continuous aggregates for real-time analytics. Apache 2.0 community edition; Timescale Ltd commercial support available.</t>
  </si>
  <si>
    <t xml:space="preserve">Spatial / GIS Data Store</t>
  </si>
  <si>
    <t xml:space="preserve">PostGIS (PostgreSQL extension)</t>
  </si>
  <si>
    <t xml:space="preserve">GNU GPL 2.0</t>
  </si>
  <si>
    <t xml:space="preserve">Spatial data types (geometry/geography), GIS queries, and map rendering for location-based services and ward/district boundary operations. Runs inside existing PostgreSQL 16 cluster — no new infra. GPL-2.0: safe for deployment (copyleft applies to distribution, not use as a hosted service). Bharat Maps / Bhuvan integration support.</t>
  </si>
  <si>
    <t xml:space="preserve">PostgreSQL HA / Cluster Operator</t>
  </si>
  <si>
    <t xml:space="preserve">CloudNativePG (CNPG Operator)</t>
  </si>
  <si>
    <t xml:space="preserve">Kubernetes-native PostgreSQL cluster operator for high availability, automated failover, streaming replication, and point-in-time recovery (PITR). Runs on OpenShift. CNCF sandbox project (Apache 2.0). Manages all PostgreSQL 16 instances (primary OLTP + TimescaleDB + PostGIS). Alternative: Patroni (MIT) for bare-metal/VM HA if needed outside OCP.</t>
  </si>
  <si>
    <t xml:space="preserve">L8 — Data Lake &amp; Analytics</t>
  </si>
  <si>
    <t xml:space="preserve">Object Storage</t>
  </si>
  <si>
    <t xml:space="preserve">Rook-Ceph (Ceph on Kubernetes)</t>
  </si>
  <si>
    <t xml:space="preserve">LGPL 2.1</t>
  </si>
  <si>
    <t xml:space="preserve">Kubernetes-native distributed object/block/file storage; S3-compatible interface (RGW); deployed via Rook operator on OCP. Replaces MinIO (AGPL-3.0 copyleft risk). LGPL-2.1 — safe for govt deployment. egov-filestore API layer unchanged. OCP equivalent: OpenShift Data Foundation (ODF) packaging.</t>
  </si>
  <si>
    <t xml:space="preserve">Data Lake Table Format</t>
  </si>
  <si>
    <t xml:space="preserve">Apache Iceberg</t>
  </si>
  <si>
    <t xml:space="preserve">ACID, time travel, schema evolution; engine-agnostic; Apache Foundation governance. Replaces Delta Lake (Databricks/vendor risk).</t>
  </si>
  <si>
    <t xml:space="preserve">Stream Processing / ETL</t>
  </si>
  <si>
    <t xml:space="preserve">Apache Spark + Apache Airflow</t>
  </si>
  <si>
    <t xml:space="preserve">10 migration ETL jobs + 20 operational batch jobs; ML pipeline orchestration</t>
  </si>
  <si>
    <t xml:space="preserve">Message Streaming / Event Bus</t>
  </si>
  <si>
    <t xml:space="preserve">Apache Kafka (Community)</t>
  </si>
  <si>
    <t xml:space="preserve">Event backbone: application state, audit events, async integrations. Community support sufficient.</t>
  </si>
  <si>
    <t xml:space="preserve">OLAP / Analytics Engine</t>
  </si>
  <si>
    <t xml:space="preserve">Apache Doris</t>
  </si>
  <si>
    <t xml:space="preserve">MIS dashboards, SLA reports, department performance, predictive analytics. Real-time + batch. Replaces ClickHouse/Druid.</t>
  </si>
  <si>
    <t xml:space="preserve">BI / Dashboards</t>
  </si>
  <si>
    <t xml:space="preserve">Apache Superset</t>
  </si>
  <si>
    <t xml:space="preserve">Management dashboards, public transparency portal; no-code chart builder; RBAC</t>
  </si>
  <si>
    <t xml:space="preserve">Operational Monitoring Dashboards</t>
  </si>
  <si>
    <t xml:space="preserve">Grafana OSS</t>
  </si>
  <si>
    <t xml:space="preserve">AGPL 3.0</t>
  </si>
  <si>
    <t xml:space="preserve">Real-time service health, API latency, Kafka lag — fed by OpenShift Prometheus</t>
  </si>
  <si>
    <t xml:space="preserve">L9 — AI / ML</t>
  </si>
  <si>
    <t xml:space="preserve">Chatbot Framework</t>
  </si>
  <si>
    <t xml:space="preserve">Rasa Open Source</t>
  </si>
  <si>
    <t xml:space="preserve">Bilingual chatbot (Gujarati + English); on-prem; service guidance, status queries, grievance registration</t>
  </si>
  <si>
    <t xml:space="preserve">OCR Engine</t>
  </si>
  <si>
    <t xml:space="preserve">Tesseract + AI4Bharat IndicOCR</t>
  </si>
  <si>
    <t xml:space="preserve">Gujarati/Hindi/English OCR; document quality assessment; field extraction</t>
  </si>
  <si>
    <t xml:space="preserve">LLM Inference (on-prem) — Primary</t>
  </si>
  <si>
    <t xml:space="preserve">Sarvam 30B via vLLM</t>
  </si>
  <si>
    <t xml:space="preserve">Primary on-prem LLM; sovereign Indic MoE model (IndiaAI Mission), 22 languages incl. Gujarati. NLQ analytics, grievance classification, document summarisation, CM narrative generation. Served via vLLM on GSDC GPU (FP16 on A100 / FP8 on H100). Data stays in GSDC. Apache 2.0 — cleaner licence than Meta Llama. Added v4.3.</t>
  </si>
  <si>
    <t xml:space="preserve">LLM Inference (on-prem) — Fallback</t>
  </si>
  <si>
    <t xml:space="preserve">Llama 3.x via vLLM</t>
  </si>
  <si>
    <t xml:space="preserve">Meta Llama Community Licence</t>
  </si>
  <si>
    <t xml:space="preserve">Retained fallback on the same vLLM serving path. De-risks Sarvam MoE vLLM integration maturity (native support in progress as of Q1 2026). Switching primary↔fallback is a config change, not re-architecture.</t>
  </si>
  <si>
    <t xml:space="preserve">NLP / Translation</t>
  </si>
  <si>
    <t xml:space="preserve">Bhashini (MeitY API)</t>
  </si>
  <si>
    <t xml:space="preserve">Government API (free for GOG)</t>
  </si>
  <si>
    <t xml:space="preserve">Gujarati-English translation, speech-to-text; MeitY-aligned. Subject to Q100 / D-03. Fallback: self-hosted Sarvam STT/TTS (Apache 2.0) on GSDC GPU — on-prem, AP-11 compliant.</t>
  </si>
  <si>
    <t xml:space="preserve">ML Ops / Experiment Tracking</t>
  </si>
  <si>
    <t xml:space="preserve">MLflow + Apache Airflow</t>
  </si>
  <si>
    <t xml:space="preserve">Model versioning, experiment tracking, scheduled retraining pipelines</t>
  </si>
  <si>
    <t xml:space="preserve">Gujarati NLP Embeddings</t>
  </si>
  <si>
    <t xml:space="preserve">IndicBERT / AI4Bharat Models</t>
  </si>
  <si>
    <t xml:space="preserve">MIT / CC</t>
  </si>
  <si>
    <t xml:space="preserve">Sentence embeddings for semantic search; fed into pgvector</t>
  </si>
  <si>
    <t xml:space="preserve">L10 — Notifications</t>
  </si>
  <si>
    <t xml:space="preserve">Notification Orchestration (multi-channel)</t>
  </si>
  <si>
    <t xml:space="preserve">Novu (Open Source)</t>
  </si>
  <si>
    <t xml:space="preserve">v4 DIGIT UPDATE: DIGIT egov-notification-sms and egov-notification-mail replace Novu for core SMS/email/in-app delivery. WhatsApp and push notification adapters retained as DG 2.0 custom extensions on top of DIGIT notification APIs.</t>
  </si>
  <si>
    <t xml:space="preserve">SMS Gateway</t>
  </si>
  <si>
    <t xml:space="preserve">MSG91 / Kaleyra</t>
  </si>
  <si>
    <t xml:space="preserve">Commercial SaaS</t>
  </si>
  <si>
    <t xml:space="preserve">Yes — DST-selected vendor</t>
  </si>
  <si>
    <t xml:space="preserve">MSP-procured; DST-approved; multiple vendors for redundancy</t>
  </si>
  <si>
    <t xml:space="preserve">WhatsApp Business API</t>
  </si>
  <si>
    <t xml:space="preserve">Meta WABA (via Approved BSP)</t>
  </si>
  <si>
    <t xml:space="preserve">Meta Commercial</t>
  </si>
  <si>
    <t xml:space="preserve">Yes — BSP contract</t>
  </si>
  <si>
    <t xml:space="preserve">Subject to Meta onboarding; opt-in only</t>
  </si>
  <si>
    <t xml:space="preserve">Email Relay</t>
  </si>
  <si>
    <t xml:space="preserve">NIC Email + Postfix</t>
  </si>
  <si>
    <t xml:space="preserve">Government / Open Source</t>
  </si>
  <si>
    <t xml:space="preserve">NIC Mail for GOG communications; Postfix as relay layer</t>
  </si>
  <si>
    <t xml:space="preserve">L11 — Security</t>
  </si>
  <si>
    <t xml:space="preserve">SIEM + XDR</t>
  </si>
  <si>
    <t xml:space="preserve">WAF</t>
  </si>
  <si>
    <t xml:space="preserve">SAST</t>
  </si>
  <si>
    <t xml:space="preserve">DAST</t>
  </si>
  <si>
    <t xml:space="preserve">Dependency Vulnerability Scan</t>
  </si>
  <si>
    <t xml:space="preserve">Antivirus / File Scan</t>
  </si>
  <si>
    <t xml:space="preserve">L12 — DevOps / CI-CD / Observability</t>
  </si>
  <si>
    <t xml:space="preserve">Container Platform</t>
  </si>
  <si>
    <t xml:space="preserve">Red Hat OpenShift (OCP)</t>
  </si>
  <si>
    <t xml:space="preserve">Commercial</t>
  </si>
  <si>
    <t xml:space="preserve">Yes — OCP subscription</t>
  </si>
  <si>
    <t xml:space="preserve">See Layer 4 — listed here for DevOps context</t>
  </si>
  <si>
    <t xml:space="preserve">CI/CD Pipeline</t>
  </si>
  <si>
    <t xml:space="preserve">Jenkins</t>
  </si>
  <si>
    <t xml:space="preserve">Sole CI/CD engine; Spring Boot + Sonar + ZAP + OpenShift plugins</t>
  </si>
  <si>
    <t xml:space="preserve">Source Code Management</t>
  </si>
  <si>
    <t xml:space="preserve">Gitea</t>
  </si>
  <si>
    <t xml:space="preserve">Lightweight self-hosted Git; pull requests, webhooks to Jenkins. Replaces GitLab CE (heavier stack).</t>
  </si>
  <si>
    <t xml:space="preserve">Artifact / Package Repository</t>
  </si>
  <si>
    <t xml:space="preserve">Nexus Repository OSS</t>
  </si>
  <si>
    <t xml:space="preserve">Maven/npm/Docker image storage; dependency proxying</t>
  </si>
  <si>
    <t xml:space="preserve">Infrastructure as Code</t>
  </si>
  <si>
    <t xml:space="preserve">Terraform + Ansible</t>
  </si>
  <si>
    <t xml:space="preserve">MPL 2.0 / GPL 2.0</t>
  </si>
  <si>
    <t xml:space="preserve">Terraform for GSDC resource provisioning; Ansible for config management</t>
  </si>
  <si>
    <t xml:space="preserve">Metrics &amp; Alerting</t>
  </si>
  <si>
    <t xml:space="preserve">OpenShift Monitoring (Prometheus + Alertmanager)</t>
  </si>
  <si>
    <t xml:space="preserve">Apache 2.0 — bundled in OCP</t>
  </si>
  <si>
    <t xml:space="preserve">Yes — bundled in OCP</t>
  </si>
  <si>
    <t xml:space="preserve">Included in OCP subscription. Not separately licensed or deployed.</t>
  </si>
  <si>
    <t xml:space="preserve">Log Aggregation</t>
  </si>
  <si>
    <t xml:space="preserve">OpenShift Logging (OpenSearch / Vector)</t>
  </si>
  <si>
    <t xml:space="preserve">Centralised pod log aggregation. Included in OCP.</t>
  </si>
  <si>
    <t xml:space="preserve">Distributed Tracing</t>
  </si>
  <si>
    <t xml:space="preserve">OpenShift Distributed Tracing (Tempo / Jaeger)</t>
  </si>
  <si>
    <t xml:space="preserve">End-to-end request tracing across microservices. Included in OCP.</t>
  </si>
  <si>
    <t xml:space="preserve">Container Image Scanning</t>
  </si>
  <si>
    <t xml:space="preserve">Red Hat Quay / ACS</t>
  </si>
  <si>
    <t xml:space="preserve">Bundled in OCP+</t>
  </si>
  <si>
    <t xml:space="preserve">Yes — bundled</t>
  </si>
  <si>
    <t xml:space="preserve">Image vulnerability scanning. Included in OCP subscription.</t>
  </si>
  <si>
    <t xml:space="preserve">L13 — Integration Adapters</t>
  </si>
  <si>
    <t xml:space="preserve">Aadhaar eKYC Adapter</t>
  </si>
  <si>
    <t xml:space="preserve">Custom-built (Spring Boot)</t>
  </si>
  <si>
    <t xml:space="preserve">Custom / MSP-owned</t>
  </si>
  <si>
    <t xml:space="preserve">UIDAI Auth/eKYC API; OTP + biometric paths; toggleable per legal clearance (Q88)</t>
  </si>
  <si>
    <t xml:space="preserve">DigiLocker Adapter</t>
  </si>
  <si>
    <t xml:space="preserve">Custom-built</t>
  </si>
  <si>
    <t xml:space="preserve">OAuth 2.0; document pull (citizen-authorised) + push (post-delivery)</t>
  </si>
  <si>
    <t xml:space="preserve">PAN Verification Adapter</t>
  </si>
  <si>
    <t xml:space="preserve">NSDL / UTIITSL REST API</t>
  </si>
  <si>
    <t xml:space="preserve">eSign / eSeal Adapter</t>
  </si>
  <si>
    <t xml:space="preserve">CDAC / eMudhra REST API; officer decision capture + certificate signing</t>
  </si>
  <si>
    <t xml:space="preserve">Payment Gateway Adapter</t>
  </si>
  <si>
    <t xml:space="preserve">PayGov + backup PGs — CLIENT-PROVIDED gateways. MSP builds integration adapter only.</t>
  </si>
  <si>
    <t xml:space="preserve">PFMS Adapter</t>
  </si>
  <si>
    <t xml:space="preserve">MeitY PFMS; REST + SFTP; scholarship DBT fund tracking</t>
  </si>
  <si>
    <t xml:space="preserve">IFMS / Treasury Adapter</t>
  </si>
  <si>
    <t xml:space="preserve">GOG Treasury system; SFTP + REST; payment reconciliation</t>
  </si>
  <si>
    <t xml:space="preserve">CPGRAMS Adapter</t>
  </si>
  <si>
    <t xml:space="preserve">DARPG CPGRAMS; grievance escalation to central system</t>
  </si>
  <si>
    <t xml:space="preserve">Other State/National Adapters</t>
  </si>
  <si>
    <t xml:space="preserve">Bhulekh, GSTN, UMANG, MySchemes, Police, Education, Health — REST adapters per RFP 3.2.10.1.2</t>
  </si>
  <si>
    <t xml:space="preserve">L14 — Contact Centre / Helpdesk</t>
  </si>
  <si>
    <t xml:space="preserve">CRM / Ticketing System</t>
  </si>
  <si>
    <t xml:space="preserve">Vtiger CRM (on-premise)</t>
  </si>
  <si>
    <t xml:space="preserve">VTPL Open Source</t>
  </si>
  <si>
    <t xml:space="preserve">Multi-channel ticket management, citizen call history, SLA tracking, agent performance; India data residency</t>
  </si>
  <si>
    <t xml:space="preserve">Telephony / IVR</t>
  </si>
  <si>
    <t xml:space="preserve">Asterisk + FreePBX</t>
  </si>
  <si>
    <t xml:space="preserve">GPL 2.0</t>
  </si>
  <si>
    <t xml:space="preserve">Open source telephony; toll-free routing, IVR for status queries, call recording</t>
  </si>
  <si>
    <t xml:space="preserve">L15 — Compliance &amp; Audit</t>
  </si>
  <si>
    <t xml:space="preserve">Audit Log Store</t>
  </si>
  <si>
    <t xml:space="preserve">Apache Kafka + Apache Iceberg (append-only)</t>
  </si>
  <si>
    <t xml:space="preserve">Immutable, tamper-evident audit events; every read/write/decision logged</t>
  </si>
  <si>
    <t xml:space="preserve">Consent Management</t>
  </si>
  <si>
    <t xml:space="preserve">Custom Build (Spring Boot)</t>
  </si>
  <si>
    <t xml:space="preserve">DPDP-aligned attribute-level consent; no COTS required</t>
  </si>
  <si>
    <t xml:space="preserve">ALTCHA (see Layer 5)</t>
  </si>
  <si>
    <t xml:space="preserve">Self-hosted; privacy-preserving; cross-referenced from Layer 5</t>
  </si>
  <si>
    <t xml:space="preserve">L16 — Testing</t>
  </si>
  <si>
    <t xml:space="preserve">Web UI Test Automation</t>
  </si>
  <si>
    <t xml:space="preserve">Playwright</t>
  </si>
  <si>
    <t xml:space="preserve">Cross-browser automation across citizen/officer/admin portals; headless execution in CI/CD</t>
  </si>
  <si>
    <t xml:space="preserve">Distributed Browser Test Grid</t>
  </si>
  <si>
    <t xml:space="preserve">Selenium Grid</t>
  </si>
  <si>
    <t xml:space="preserve">Parallel UI test execution; runs as pods on OpenShift</t>
  </si>
  <si>
    <t xml:space="preserve">API Test Automation</t>
  </si>
  <si>
    <t xml:space="preserve">REST Assured</t>
  </si>
  <si>
    <t xml:space="preserve">API testing for all 50 microservice REST endpoints; Java-native, integrates with Spring Boot test suite</t>
  </si>
  <si>
    <t xml:space="preserve">Contract Testing</t>
  </si>
  <si>
    <t xml:space="preserve">Pact</t>
  </si>
  <si>
    <t xml:space="preserve">Consumer-driven contract testing between microservices; prevents breaking API changes</t>
  </si>
  <si>
    <t xml:space="preserve">Performance / Load Testing</t>
  </si>
  <si>
    <t xml:space="preserve">Apache JMeter</t>
  </si>
  <si>
    <t xml:space="preserve">Performance and load testing; distributed mode for peak concurrency (15k-30k users); SLA validation</t>
  </si>
  <si>
    <t xml:space="preserve">Test Orchestration (CI/CD)</t>
  </si>
  <si>
    <t xml:space="preserve">Jenkins (test stages)</t>
  </si>
  <si>
    <t xml:space="preserve">Playwright, JMeter, ZAP, REST Assured run as stages inside existing Jenkins pipeline; no new CI/CD tool — AP-07 one-tool-per-function</t>
  </si>
  <si>
    <t xml:space="preserve">L17 — Data Migration &amp; Quality</t>
  </si>
  <si>
    <t xml:space="preserve">Real-time Data Extraction / Flow Design</t>
  </si>
  <si>
    <t xml:space="preserve">Apache NiFi</t>
  </si>
  <si>
    <t xml:space="preserve">Live DG 1.0 extraction and streaming during cutover; visual flow design</t>
  </si>
  <si>
    <t xml:space="preserve">Batch ETL Transformation</t>
  </si>
  <si>
    <t xml:space="preserve">Apache Hop</t>
  </si>
  <si>
    <t xml:space="preserve">Complex transformation pipelines — cleansing, enrichment, format conversion for migration jobs; Kettle/Spoon successor</t>
  </si>
  <si>
    <t xml:space="preserve">Batch Job Orchestration</t>
  </si>
  <si>
    <t xml:space="preserve">Spring Batch</t>
  </si>
  <si>
    <t xml:space="preserve">Chunk-based migration jobs with restart/retry/skip logic; reuses existing Spring ecosystem</t>
  </si>
  <si>
    <t xml:space="preserve">DB Schema Migration / Versioning</t>
  </si>
  <si>
    <t xml:space="preserve">Liquibase Community</t>
  </si>
  <si>
    <t xml:space="preserve">Git-tracked DDL changes with rollback support; runs at deploy time across all environments</t>
  </si>
  <si>
    <t xml:space="preserve">Data Quality Validation</t>
  </si>
  <si>
    <t xml:space="preserve">Great Expectations (GX Core)</t>
  </si>
  <si>
    <t xml:space="preserve">Pre- and post-migration data quality assertion suites; acceptance gates per dry run</t>
  </si>
  <si>
    <t xml:space="preserve">Data Catalogue, Lineage &amp; Governance</t>
  </si>
  <si>
    <t xml:space="preserve">OpenMetadata</t>
  </si>
  <si>
    <t xml:space="preserve">Metadata catalogue, lineage tracking and data profiling across migration jobs and ongoing platform data assets (TSD Section 7.7 Data Governance/MDM)</t>
  </si>
  <si>
    <t xml:space="preserve">Migration Reconciliation Dashboards</t>
  </si>
  <si>
    <t xml:space="preserve">Apache Superset (reuse)</t>
  </si>
  <si>
    <t xml:space="preserve">Record-count and validation pass/fail dashboards for cutover tracking; reuses existing Superset instance — no new infra</t>
  </si>
  <si>
    <t xml:space="preserve">L18 — Project Mgmt &amp; Digital Governance</t>
  </si>
  <si>
    <t xml:space="preserve">Issue Tracking / Sprint Boards</t>
  </si>
  <si>
    <t xml:space="preserve">Plane (Open Source)</t>
  </si>
  <si>
    <t xml:space="preserve">Single tool for backlog, sprints, Kanban across delivery team; replaces GitLab CE (stack conflict) and unmaintained Focalboard</t>
  </si>
  <si>
    <t xml:space="preserve">Code Review (MR / PR)</t>
  </si>
  <si>
    <t xml:space="preserve">Gitea (reuse)</t>
  </si>
  <si>
    <t xml:space="preserve">Merge/Pull Request review and branch policy; reuses existing Gitea — no new tool</t>
  </si>
  <si>
    <t xml:space="preserve">GitOps Release Governance</t>
  </si>
  <si>
    <t xml:space="preserve">OpenShift GitOps (Argo CD)</t>
  </si>
  <si>
    <t xml:space="preserve">Declarative deployment from Git; Dev→Test→UAT→Prod promotion; drift detection. No separate licence.</t>
  </si>
  <si>
    <t xml:space="preserve">OCP-native Pipeline Runner</t>
  </si>
  <si>
    <t xml:space="preserve">OpenShift Pipelines / Tekton</t>
  </si>
  <si>
    <t xml:space="preserve">GitOps-triggered deployment pipelines; complements Jenkins, which remains sole build/test CI tool</t>
  </si>
  <si>
    <t xml:space="preserve">Environment Provisioning Governance</t>
  </si>
  <si>
    <t xml:space="preserve">Terraform + Ansible (reuse)</t>
  </si>
  <si>
    <t xml:space="preserve">IaC tracked in Git and promoted via Argo CD as a release artefact; reuses existing IaC stack (see Layer 4/12)</t>
  </si>
  <si>
    <t xml:space="preserve">Layer / Domain</t>
  </si>
  <si>
    <t xml:space="preserve">Capability / Component</t>
  </si>
  <si>
    <t xml:space="preserve">DIGIT Service Used</t>
  </si>
  <si>
    <t xml:space="preserve">DIGIT Version</t>
  </si>
  <si>
    <t xml:space="preserve">Usage Mode</t>
  </si>
  <si>
    <t xml:space="preserve">DG 2.0 Extension / Gap Handling</t>
  </si>
  <si>
    <t xml:space="preserve">SECTION A — DIGIT Core Services Used As-Is</t>
  </si>
  <si>
    <t xml:space="preserve">Workflow &amp; BPM</t>
  </si>
  <si>
    <t xml:space="preserve">Application processing workflow engine</t>
  </si>
  <si>
    <t xml:space="preserve">egov-workflow-v2</t>
  </si>
  <si>
    <t xml:space="preserve">DIGIT 2.9+</t>
  </si>
  <si>
    <t xml:space="preserve">Used as-is</t>
  </si>
  <si>
    <t xml:space="preserve">40 BPMN templates parameterised on top. DIGIT handles state transitions, inbox, SLA timers. Flowable removed from L6.</t>
  </si>
  <si>
    <t xml:space="preserve">Identity &amp; Access</t>
  </si>
  <si>
    <t xml:space="preserve">Citizen authentication (OTP, login, SSO)</t>
  </si>
  <si>
    <t xml:space="preserve">egov-user (DIGIT User Service)</t>
  </si>
  <si>
    <t xml:space="preserve">Keycloak retained as OIDC IdP. DIGIT user service acts as citizen profile store. Both co-exist via token federation.</t>
  </si>
  <si>
    <t xml:space="preserve">Role-based access control (officer roles)</t>
  </si>
  <si>
    <t xml:space="preserve">DIGIT RBAC module</t>
  </si>
  <si>
    <t xml:space="preserve">DIGIT role-action mapping extended with DG 2.0 officer hierarchy. OPA retained for complex ABAC policies.</t>
  </si>
  <si>
    <t xml:space="preserve">Notifications</t>
  </si>
  <si>
    <t xml:space="preserve">Multi-channel notification orchestration</t>
  </si>
  <si>
    <t xml:space="preserve">egov-notification-sms / egov-notification-mail</t>
  </si>
  <si>
    <t xml:space="preserve">Novu removed. DIGIT notification services handle SMS, email, in-app. WhatsApp and push via DG 2.0 extension adapters.</t>
  </si>
  <si>
    <t xml:space="preserve">Grievance Redressal</t>
  </si>
  <si>
    <t xml:space="preserve">Citizen complaint and grievance lifecycle</t>
  </si>
  <si>
    <t xml:space="preserve">pgr-services (DIGIT PGR v2)</t>
  </si>
  <si>
    <t xml:space="preserve">DIGIT PGR handles ticket creation, assignment, SLA, closure. CPGRAMS bridge and L0-L4 escalation are DG 2.0 extensions.</t>
  </si>
  <si>
    <t xml:space="preserve">Document Management</t>
  </si>
  <si>
    <t xml:space="preserve">Citizen document upload and storage</t>
  </si>
  <si>
    <t xml:space="preserve">egov-filestore</t>
  </si>
  <si>
    <t xml:space="preserve">Rook-Ceph (Ceph on Kubernetes) retained as underlying S3-compatible object store (via Ceph RGW). DIGIT filestore API is the service layer all modules call — unchanged. Virus scan sidecar (ClamAV) retained. Replaces MinIO (AGPL-3.0 copyleft risk eliminated, v4.2).</t>
  </si>
  <si>
    <t xml:space="preserve">Master Data</t>
  </si>
  <si>
    <t xml:space="preserve">Service catalogue metadata, department master, area master</t>
  </si>
  <si>
    <t xml:space="preserve">egov-mdms-service</t>
  </si>
  <si>
    <t xml:space="preserve">All 16-department service metadata hosted in DIGIT MDMS. DG 2.0 admin UI writes to MDMS via API. No separate MDMS built.</t>
  </si>
  <si>
    <t xml:space="preserve">Payments</t>
  </si>
  <si>
    <t xml:space="preserve">Fee collection, gateway integration, receipts</t>
  </si>
  <si>
    <t xml:space="preserve">payment-gateway (DIGIT)</t>
  </si>
  <si>
    <t xml:space="preserve">DIGIT payment service used for fee initiation and receipt. PayGov and backup PG adapters are DG 2.0 custom extensions on top.</t>
  </si>
  <si>
    <t xml:space="preserve">ID Generation</t>
  </si>
  <si>
    <t xml:space="preserve">Application reference numbers, citizen IDs</t>
  </si>
  <si>
    <t xml:space="preserve">egov-idgen</t>
  </si>
  <si>
    <t xml:space="preserve">All reference number generation uses DIGIT idgen. Format patterns configured per service in MDMS.</t>
  </si>
  <si>
    <t xml:space="preserve">PDF Generation</t>
  </si>
  <si>
    <t xml:space="preserve">Certificate and receipt PDF creation</t>
  </si>
  <si>
    <t xml:space="preserve">egov-pdf</t>
  </si>
  <si>
    <t xml:space="preserve">Certificate templates defined in DIGIT PDF service. eSign/eSeal adapter wraps the generated PDF before delivery.</t>
  </si>
  <si>
    <t xml:space="preserve">Encryption &amp; PII Security</t>
  </si>
  <si>
    <t xml:space="preserve">Field-level PII encryption, audit</t>
  </si>
  <si>
    <t xml:space="preserve">egov-enc-service</t>
  </si>
  <si>
    <t xml:space="preserve">All citizen PII fields encrypted at rest via DIGIT encryption service. Keycloak-managed keys; Vault for rotation.</t>
  </si>
  <si>
    <t xml:space="preserve">Audit Trail</t>
  </si>
  <si>
    <t xml:space="preserve">Access and action audit logging</t>
  </si>
  <si>
    <t xml:space="preserve">egov-audit-service</t>
  </si>
  <si>
    <t xml:space="preserve">Every officer action, citizen data access, and decision logged via DIGIT audit service. Kafka + Iceberg append-only store retained.</t>
  </si>
  <si>
    <t xml:space="preserve">Multi-tenancy</t>
  </si>
  <si>
    <t xml:space="preserve">Department / tenant isolation</t>
  </si>
  <si>
    <t xml:space="preserve">DIGIT multi-tenant framework</t>
  </si>
  <si>
    <t xml:space="preserve">All 16 departments run as isolated tenants on the same DIGIT cluster. Data segregation enforced at platform level.</t>
  </si>
  <si>
    <t xml:space="preserve">Search &amp; Indexer</t>
  </si>
  <si>
    <t xml:space="preserve">Application and service catalogue search</t>
  </si>
  <si>
    <t xml:space="preserve">egov-indexer + egov-searcher</t>
  </si>
  <si>
    <t xml:space="preserve">OpenSearch retained as backend. DIGIT indexer/searcher APIs are the interface for all modules. No direct OpenSearch calls.</t>
  </si>
  <si>
    <t xml:space="preserve">SECTION B — Capabilities Built on Top of DIGIT (DIGIT Gaps)</t>
  </si>
  <si>
    <t xml:space="preserve">Citizen Profile</t>
  </si>
  <si>
    <t xml:space="preserve">Citizen Application Form (CAF) — golden record</t>
  </si>
  <si>
    <t xml:space="preserve">None in DIGIT</t>
  </si>
  <si>
    <t xml:space="preserve">—</t>
  </si>
  <si>
    <t xml:space="preserve">Custom</t>
  </si>
  <si>
    <t xml:space="preserve">DG 2.0 custom build</t>
  </si>
  <si>
    <t xml:space="preserve">DIGIT has no cross-service citizen profile. CAF built as a standalone microservice on top of DIGIT APIs. PostgreSQL 16 JSONB store for flexible schema (replaces MongoDB Community — SSPL licensing risk eliminated, v4.2). JSONB with GIN index provides equivalent document-query capability.</t>
  </si>
  <si>
    <t xml:space="preserve">Form Design</t>
  </si>
  <si>
    <t xml:space="preserve">No-code dynamic form builder with CAF pre-fill</t>
  </si>
  <si>
    <t xml:space="preserve">Formio (MIT) retained as no-code form builder. CAF pre-fill mapper is DG 2.0 custom. DIGIT MDMS stores form schema metadata.</t>
  </si>
  <si>
    <t xml:space="preserve">Service Onboarding</t>
  </si>
  <si>
    <t xml:space="preserve">Dept self-service 7-stage onboarding wizard</t>
  </si>
  <si>
    <t xml:space="preserve">Wizard orchestrates DIGIT MDMS writes, Flowable/DIGIT workflow config, Formio schema publish, and API integration setup.</t>
  </si>
  <si>
    <t xml:space="preserve">AI / NLP</t>
  </si>
  <si>
    <t xml:space="preserve">Semantic search, chatbot, OCR, eligibility NLP</t>
  </si>
  <si>
    <t xml:space="preserve">Rasa, Llama 3, Tesseract, IndicBERT, pgvector all retained. DIGIT provides no AI layer. These call DIGIT APIs for data.</t>
  </si>
  <si>
    <t xml:space="preserve">DPDP-aligned attribute-level consent</t>
  </si>
  <si>
    <t xml:space="preserve">Custom consent service built. DIGIT encryption service used to protect consented data. DPDP rules engine is custom.</t>
  </si>
  <si>
    <t xml:space="preserve">Bilingual UX</t>
  </si>
  <si>
    <t xml:space="preserve">Gujarati + English full parity</t>
  </si>
  <si>
    <t xml:space="preserve">i18next + Bhashini retained. DIGIT has i18n hooks but no Gujarati content pack. All translations are DG 2.0 responsibility.</t>
  </si>
  <si>
    <t xml:space="preserve">Extended Channels</t>
  </si>
  <si>
    <t xml:space="preserve">PWA, WhatsApp bot, IVR, Kiosk</t>
  </si>
  <si>
    <t xml:space="preserve">DIGIT has web/mobile. PWA (Next.js), WhatsApp (Novu extension), IVR (Asterisk), Kiosk all built as DG 2.0 channel adapters.</t>
  </si>
  <si>
    <t xml:space="preserve">CM Dashboard</t>
  </si>
  <si>
    <t xml:space="preserve">State-level KPI feed and analytics</t>
  </si>
  <si>
    <t xml:space="preserve">Apache Doris + Superset retained. CM Dashboard bridge is a custom Kafka consumer + REST publisher. DIGIT emits events; DG 2.0 aggregates.</t>
  </si>
  <si>
    <t xml:space="preserve">eSign / DigiLocker / UMANG</t>
  </si>
  <si>
    <t xml:space="preserve">eSign, eSeal, DigiLocker push/pull, UMANG</t>
  </si>
  <si>
    <t xml:space="preserve">All national integration adapters are DG 2.0 custom builds. They call DIGIT filestore and user services internally.</t>
  </si>
  <si>
    <t xml:space="preserve">Proactive Service Delivery</t>
  </si>
  <si>
    <t xml:space="preserve">Eligibility engine + proactive notification push</t>
  </si>
  <si>
    <t xml:space="preserve">Drools eligibility engine + Novu/DIGIT notification extension. DG 2.0 exclusive — no equivalent in any DIGIT deployment.</t>
  </si>
  <si>
    <t xml:space="preserve">Officer Mobile (field inspection)</t>
  </si>
  <si>
    <t xml:space="preserve">GPS photo capture, offline sync, field notes</t>
  </si>
  <si>
    <t xml:space="preserve">DIGIT has a basic employee app. DG 2.0 Android app (Kotlin/Compose) extends DIGIT user and workflow APIs with field-specific features.</t>
  </si>
  <si>
    <t xml:space="preserve">SECTION C — DIGIT Services Partially Used / Extended</t>
  </si>
  <si>
    <t xml:space="preserve">Location &amp; Boundary</t>
  </si>
  <si>
    <t xml:space="preserve">District / taluka / village hierarchy</t>
  </si>
  <si>
    <t xml:space="preserve">egov-location (DIGIT boundary service)</t>
  </si>
  <si>
    <t xml:space="preserve">Extended</t>
  </si>
  <si>
    <t xml:space="preserve">DIGIT boundary service provides Gujarat admin hierarchy. Extended with e-Gram and JSK geographic mapping not in DIGIT default data.</t>
  </si>
  <si>
    <t xml:space="preserve">Localisation</t>
  </si>
  <si>
    <t xml:space="preserve">Language resource management</t>
  </si>
  <si>
    <t xml:space="preserve">egov-localization</t>
  </si>
  <si>
    <t xml:space="preserve">DIGIT localisation service stores key-value pairs. Gujarati content pack built by DG 2.0 team and loaded into this service.</t>
  </si>
  <si>
    <t xml:space="preserve">Dashboard / DSS</t>
  </si>
  <si>
    <t xml:space="preserve">Basic operational dashboards</t>
  </si>
  <si>
    <t xml:space="preserve">DSS (DIGIT dashboard)</t>
  </si>
  <si>
    <t xml:space="preserve">DIGIT DSS used for officer and dept dashboards. CM Dashboard, AI analytics, and NLQ layer are DG 2.0 extensions above DSS.</t>
  </si>
  <si>
    <t xml:space="preserve">Category</t>
  </si>
  <si>
    <t xml:space="preserve">Count</t>
  </si>
  <si>
    <t xml:space="preserve">Scope</t>
  </si>
  <si>
    <t xml:space="preserve">Used as-is (DIGIT core services)</t>
  </si>
  <si>
    <t xml:space="preserve">15</t>
  </si>
  <si>
    <t xml:space="preserve">~30–35% of platform layer</t>
  </si>
  <si>
    <t xml:space="preserve">Zero licence cost; production-proven at India state scale</t>
  </si>
  <si>
    <t xml:space="preserve">Custom-built on top of DIGIT</t>
  </si>
  <si>
    <t xml:space="preserve">12</t>
  </si>
  <si>
    <t xml:space="preserve">~40% of platform layer</t>
  </si>
  <si>
    <t xml:space="preserve">DG 2.0 differentiators — CAF, AI, consent, channels, CM Dashboard</t>
  </si>
  <si>
    <t xml:space="preserve">Extended / partially used</t>
  </si>
  <si>
    <t xml:space="preserve">3</t>
  </si>
  <si>
    <t xml:space="preserve">~5% of platform layer</t>
  </si>
  <si>
    <t xml:space="preserve">Gujarati content, boundary data, CM DSS extension</t>
  </si>
  <si>
    <t xml:space="preserve">Non-DIGIT (retained from v3)</t>
  </si>
  <si>
    <t xml:space="preserve">~30+</t>
  </si>
  <si>
    <t xml:space="preserve">~25% of platform layer</t>
  </si>
  <si>
    <t xml:space="preserve">OpenShift, Keycloak, Kafka, PostgreSQL, ML stack, DevOps tools etc.</t>
  </si>
  <si>
    <t xml:space="preserve">Tech Stack Name</t>
  </si>
  <si>
    <t xml:space="preserve">Licence Type</t>
  </si>
  <si>
    <t xml:space="preserve">Functionalities Achieved</t>
  </si>
  <si>
    <t xml:space="preserve">Dev Env.</t>
  </si>
  <si>
    <t xml:space="preserve">Test Env.</t>
  </si>
  <si>
    <t xml:space="preserve">UAT / Training Env.</t>
  </si>
  <si>
    <t xml:space="preserve">Sandbox Env.</t>
  </si>
  <si>
    <t xml:space="preserve">Prod Environment</t>
  </si>
  <si>
    <t xml:space="preserve">OSS / COTS / Custom</t>
  </si>
  <si>
    <t xml:space="preserve">Remarks</t>
  </si>
  <si>
    <t xml:space="preserve">DIGIT Component?</t>
  </si>
  <si>
    <t xml:space="preserve">Frontend</t>
  </si>
  <si>
    <t xml:space="preserve">Web portal (PWA), citizen/officer/admin dashboards, bilingual responsive UI</t>
  </si>
  <si>
    <t xml:space="preserve">x</t>
  </si>
  <si>
    <t xml:space="preserve">OSS</t>
  </si>
  <si>
    <t xml:space="preserve">Native Android app; offline field inspection; citizen app</t>
  </si>
  <si>
    <t xml:space="preserve">Apple (no cost)</t>
  </si>
  <si>
    <t xml:space="preserve">Native iOS app; biometric auth; citizen and officer app</t>
  </si>
  <si>
    <t xml:space="preserve">OSS / Free</t>
  </si>
  <si>
    <t xml:space="preserve">No-code form builder; 500+ service forms; progressive profiling</t>
  </si>
  <si>
    <t xml:space="preserve">Extended — DIGIT MDMS stores form schema</t>
  </si>
  <si>
    <t xml:space="preserve">Gujarati + English bilingual across all UI screens</t>
  </si>
  <si>
    <t xml:space="preserve">Real-time SLA countdown, live queue push, citizen status updates</t>
  </si>
  <si>
    <t xml:space="preserve">API Management</t>
  </si>
  <si>
    <t xml:space="preserve">Apache 2.0 + WSO2 Commercial</t>
  </si>
  <si>
    <t xml:space="preserve">API gateway, rate limiting, OAuth2/JWT, developer portal, API analytics, lifecycle, sandbox</t>
  </si>
  <si>
    <t xml:space="preserve">OSS (COTS for support)</t>
  </si>
  <si>
    <t xml:space="preserve">RFP 3.1.9.2 mandates enterprise support for all third-party products</t>
  </si>
  <si>
    <t xml:space="preserve">Microservices Runtime</t>
  </si>
  <si>
    <t xml:space="preserve">Spring Boot 3.x (Java 21)</t>
  </si>
  <si>
    <t xml:space="preserve">50 microservices backend; REST APIs; Kafka consumers; batch workers</t>
  </si>
  <si>
    <t xml:space="preserve">Used to build custom services on DIGIT APIs</t>
  </si>
  <si>
    <t xml:space="preserve">High-throughput async services (notification dispatch, streaming)</t>
  </si>
  <si>
    <t xml:space="preserve">Circuit breakers, retry, bulkheads — embedded in Spring Boot</t>
  </si>
  <si>
    <t xml:space="preserve">Container orchestration, auto-scaling (HPA), rolling deployments, multi-namespace isolation</t>
  </si>
  <si>
    <t xml:space="preserve">COTS</t>
  </si>
  <si>
    <t xml:space="preserve">Commercial subscription; includes Service Mesh, Monitoring, Logging, Tracing</t>
  </si>
  <si>
    <t xml:space="preserve">OpenShift Service Mesh (Istio + Envoy + Kiali)</t>
  </si>
  <si>
    <t xml:space="preserve">Apache 2.0 (bundled OCP)</t>
  </si>
  <si>
    <t xml:space="preserve">Zero-trust mTLS, traffic management, canary deployments, service observability</t>
  </si>
  <si>
    <t xml:space="preserve">OSS (bundled)</t>
  </si>
  <si>
    <t xml:space="preserve">Yes (bundled)</t>
  </si>
  <si>
    <t xml:space="preserve">No separate licence; included in all OCP subscription tiers</t>
  </si>
  <si>
    <t xml:space="preserve">Citizen SSO + Officer SSO; OIDC/OAuth2/SAML2; MFA; account lifecycle; eSuvidha bridge</t>
  </si>
  <si>
    <t xml:space="preserve">Retained as OIDC IdP; DIGIT user service alongside</t>
  </si>
  <si>
    <t xml:space="preserve">RBAC/ABAC enforcement for officer module; Rego policies; separation-of-duties</t>
  </si>
  <si>
    <t xml:space="preserve">Retained for complex ABAC</t>
  </si>
  <si>
    <t xml:space="preserve">Bot protection / CAPTCHA; proof-of-work; self-hosted; no tracking; DPDP-safe</t>
  </si>
  <si>
    <t xml:space="preserve">Replaces hCaptcha</t>
  </si>
  <si>
    <t xml:space="preserve">BSL</t>
  </si>
  <si>
    <t xml:space="preserve">Secrets management; dynamic secrets; TLS cert rotation for microservices</t>
  </si>
  <si>
    <t xml:space="preserve">OSS (partial)</t>
  </si>
  <si>
    <t xml:space="preserve">Community edition sufficient</t>
  </si>
  <si>
    <t xml:space="preserve">BPMN 2.0 workflow engine; 40+ approval workflows; DMN decisions; CMMN case management</t>
  </si>
  <si>
    <t xml:space="preserve">DIGIT (replaces)</t>
  </si>
  <si>
    <t xml:space="preserve">v4 UPDATE: Replaced by DIGIT egov-workflow-v2. Flowable removed. DIGIT handles state machine, inbox, SLA timer. 40 BPMN templates parameterised on top.</t>
  </si>
  <si>
    <t xml:space="preserve">Replaced by egov-workflow-v2</t>
  </si>
  <si>
    <t xml:space="preserve">Fee calculation (slab/range/exemption) + eligibility determination business rules</t>
  </si>
  <si>
    <t xml:space="preserve">Retained — no DIGIT equivalent</t>
  </si>
  <si>
    <t xml:space="preserve">Data Store</t>
  </si>
  <si>
    <t xml:space="preserve">Primary OLTP for all microservices; ACID; JSONB (absorbs CAF flexible-schema use case, replacing MongoDB); ltree; pgvector extension</t>
  </si>
  <si>
    <t xml:space="preserve">EDB enterprise support — RFP 3.1.9.2 mandates RDBMS enterprise support. MongoDB removed v4.2 — SSPL licensing risk eliminated.</t>
  </si>
  <si>
    <t xml:space="preserve">Retained as DIGIT data store backend</t>
  </si>
  <si>
    <t xml:space="preserve">In-memory cache; session tokens; form draft hot-tier; rate-limit counters</t>
  </si>
  <si>
    <t xml:space="preserve">Redis replacement; BSD licence; 8% faster; Linux Foundation</t>
  </si>
  <si>
    <t xml:space="preserve">Full-text search; citizen dedup; application search; audit log search</t>
  </si>
  <si>
    <t xml:space="preserve">Replaces Elasticsearch (SSPL licensing risk)</t>
  </si>
  <si>
    <t xml:space="preserve">Retained — egov-indexer/searcher API layer on top</t>
  </si>
  <si>
    <t xml:space="preserve">Semantic/vector search for service discovery, chatbot intent, eligibility — inside PG cluster</t>
  </si>
  <si>
    <t xml:space="preserve">No new infra; replaces Milvus/Qdrant at DG2.0 scale (&lt;1M vectors)</t>
  </si>
  <si>
    <t xml:space="preserve">Time-series data store for IoT/AQI sensor feeds and SLA metric time-series; continuous aggregates for real-time analytics; runs inside PostgreSQL 16 cluster</t>
  </si>
  <si>
    <t xml:space="preserve">No new infra; PostgreSQL extension — runs inside existing PG cluster</t>
  </si>
  <si>
    <t xml:space="preserve">Spatial data types, GIS queries, ward/district boundary operations, location-based service lookups; Bharat Maps / Bhuvan integration support</t>
  </si>
  <si>
    <t xml:space="preserve">GPL-2.0: safe for deployment use; runs inside existing PostgreSQL 16 cluster</t>
  </si>
  <si>
    <t xml:space="preserve">PostgreSQL HA cluster operator on OCP; automated failover, streaming replication, PITR; manages all PG 16 instances including TimescaleDB and PostGIS. Patroni (MIT) as bare-metal fallback.</t>
  </si>
  <si>
    <t xml:space="preserve">CNCF sandbox project; Apache 2.0; replaces manual HA setup</t>
  </si>
  <si>
    <t xml:space="preserve">Data Lake &amp; Analytics</t>
  </si>
  <si>
    <t xml:space="preserve">Kubernetes-native distributed object/block/file storage (S3-compatible via RGW); citizen docs, inspection photos, certificate PDFs, ML artefacts; deployed via Rook operator on OCP. Replaces MinIO (AGPL-3.0).</t>
  </si>
  <si>
    <t xml:space="preserve">LGPL-2.1 — govt-safe; safer long-term licence than MinIO AGPL-3.0. OCP packaging: OpenShift Data Foundation (ODF).</t>
  </si>
  <si>
    <t xml:space="preserve">Retained — egov-filestore API layer on top (unchanged)</t>
  </si>
  <si>
    <t xml:space="preserve">Data lake table format; ACID, time travel, schema evolution; engine-agnostic</t>
  </si>
  <si>
    <t xml:space="preserve">Replaces Delta Lake (Databricks vendor risk)</t>
  </si>
  <si>
    <t xml:space="preserve">Batch ETL (10 migration + 20 operational jobs); ML pipeline orchestration</t>
  </si>
  <si>
    <t xml:space="preserve">Event streaming: application state, audit events, async integrations, ETL coordination</t>
  </si>
  <si>
    <t xml:space="preserve">Community edition; no Confluent support needed</t>
  </si>
  <si>
    <t xml:space="preserve">Retained — DIGIT uses Kafka internally</t>
  </si>
  <si>
    <t xml:space="preserve">OLAP analytics: MIS dashboards, SLA reports, dept performance, predictive analytics</t>
  </si>
  <si>
    <t xml:space="preserve">Replaces ClickHouse/Druid</t>
  </si>
  <si>
    <t xml:space="preserve">BI dashboards; public transparency portal; no-code charts; RBAC</t>
  </si>
  <si>
    <t xml:space="preserve">Operational monitoring dashboards fed by OpenShift Prometheus</t>
  </si>
  <si>
    <t xml:space="preserve">AI / ML</t>
  </si>
  <si>
    <t xml:space="preserve">Bilingual chatbot (Gujarati+English); service guidance, status, grievance; on-prem</t>
  </si>
  <si>
    <t xml:space="preserve">OCR for Gujarati/Hindi/English docs; quality assessment; field extraction</t>
  </si>
  <si>
    <t xml:space="preserve">Primary on-prem LLM; sovereign Indic MoE (22 langs incl. Gujarati); NLQ, grievance classification, doc summarisation, CM narrative</t>
  </si>
  <si>
    <t xml:space="preserve">IndiaAI Mission model; Apache 2.0; data stays in GSDC; FP16 on A100 / FP8 on H100. Added v4.3.</t>
  </si>
  <si>
    <t xml:space="preserve">Llama 3.x via vLLM (fallback)</t>
  </si>
  <si>
    <t xml:space="preserve">Meta Llama Community</t>
  </si>
  <si>
    <t xml:space="preserve">On-prem LLM fallback on same vLLM serving path; de-risks Sarvam vLLM integration maturity</t>
  </si>
  <si>
    <t xml:space="preserve">Retained fallback; switching primary↔fallback is a config change</t>
  </si>
  <si>
    <t xml:space="preserve">Government API</t>
  </si>
  <si>
    <t xml:space="preserve">Gujarati-English translation; speech-to-text; NLP</t>
  </si>
  <si>
    <t xml:space="preserve">Custom / Govt</t>
  </si>
  <si>
    <t xml:space="preserve">Free for GOG; subject to Q100 / D-03. Fallback: self-hosted Sarvam STT/TTS (Apache 2.0) on GSDC GPU — on-prem, AP-11 compliant.</t>
  </si>
  <si>
    <t xml:space="preserve">ML experiment tracking, model registry, versioning, scheduled retraining</t>
  </si>
  <si>
    <t xml:space="preserve">IndicBERT / AI4Bharat Embeddings</t>
  </si>
  <si>
    <t xml:space="preserve">Gujarati/Hindi sentence embeddings for semantic search, fed into pgvector</t>
  </si>
  <si>
    <t xml:space="preserve">Multi-channel notification orchestration: SMS, WhatsApp, email, push, in-app</t>
  </si>
  <si>
    <t xml:space="preserve">v4 UPDATE: Replaced by DIGIT egov-notification-sms/mail. WhatsApp/push handled by DG 2.0 extension adapters on top.</t>
  </si>
  <si>
    <t xml:space="preserve">Replaced by egov-notification-sms/mail</t>
  </si>
  <si>
    <t xml:space="preserve">MSG91 / Kaleyra (SMS)</t>
  </si>
  <si>
    <t xml:space="preserve">SMS delivery; multiple vendors for redundancy</t>
  </si>
  <si>
    <t xml:space="preserve">DST-selected vendor; MSP-procured</t>
  </si>
  <si>
    <t xml:space="preserve">Meta WABA (WhatsApp BSP)</t>
  </si>
  <si>
    <t xml:space="preserve">WhatsApp notifications; opt-in; rich messages with action buttons</t>
  </si>
  <si>
    <t xml:space="preserve">Subject to Meta BSP onboarding</t>
  </si>
  <si>
    <t xml:space="preserve">Govt / Open Source</t>
  </si>
  <si>
    <t xml:space="preserve">GOG email communications; Postfix as relay</t>
  </si>
  <si>
    <t xml:space="preserve">OSS / Govt</t>
  </si>
  <si>
    <t xml:space="preserve">Security</t>
  </si>
  <si>
    <t xml:space="preserve">Resolves RFP Q104</t>
  </si>
  <si>
    <t xml:space="preserve">DevOps / CI-CD</t>
  </si>
  <si>
    <t xml:space="preserve">Sole CI/CD pipeline; build, test, quality gate, security scan, deploy to OpenShift</t>
  </si>
  <si>
    <t xml:space="preserve">Lightweight self-hosted Git; source code management, pull requests, webhooks to Jenkins</t>
  </si>
  <si>
    <t xml:space="preserve">Replaces GitLab CE</t>
  </si>
  <si>
    <t xml:space="preserve">Artefact repository: Maven/npm/Docker images; dependency proxying</t>
  </si>
  <si>
    <t xml:space="preserve">IaC for GSDC provisioning (Terraform); OS and app config management (Ansible)</t>
  </si>
  <si>
    <t xml:space="preserve">Metrics collection, SLA breach alerting — included in OCP</t>
  </si>
  <si>
    <t xml:space="preserve">No separate deployment or licence</t>
  </si>
  <si>
    <t xml:space="preserve">OpenShift Logging (OpenSearch/Vector)</t>
  </si>
  <si>
    <t xml:space="preserve">Centralised pod log aggregation — included in OCP</t>
  </si>
  <si>
    <t xml:space="preserve">OpenShift Distributed Tracing (Tempo/Jaeger)</t>
  </si>
  <si>
    <t xml:space="preserve">End-to-end request tracing across microservices — included in OCP</t>
  </si>
  <si>
    <t xml:space="preserve">Contact Centre</t>
  </si>
  <si>
    <t xml:space="preserve">Multi-channel ticketing, citizen call history, SLA tracking, agent performance</t>
  </si>
  <si>
    <t xml:space="preserve">India data residency</t>
  </si>
  <si>
    <t xml:space="preserve">Partial — DIGIT PGR for internal tickets</t>
  </si>
  <si>
    <t xml:space="preserve">IVR + telephony; toll-free routing, call recording, IVR for status queries</t>
  </si>
  <si>
    <t xml:space="preserve">Compliance &amp; Audit</t>
  </si>
  <si>
    <t xml:space="preserve">Kafka + Apache Iceberg (audit store)</t>
  </si>
  <si>
    <t xml:space="preserve">Immutable tamper-evident audit log; every read/write/decision; append-only</t>
  </si>
  <si>
    <t xml:space="preserve">Consent Management (Custom)</t>
  </si>
  <si>
    <t xml:space="preserve">DPDP-aligned attribute-level consent; consent dashboard; withdrawal cascading</t>
  </si>
  <si>
    <t xml:space="preserve">No DIGIT equivalent — custom build</t>
  </si>
  <si>
    <t xml:space="preserve">Integration Adapters</t>
  </si>
  <si>
    <t xml:space="preserve">Aadhaar eKYC Adapter (Custom)</t>
  </si>
  <si>
    <t xml:space="preserve">UIDAI eKYC; OTP + biometric paths; toggleable per legal clearance</t>
  </si>
  <si>
    <t xml:space="preserve">Subject to Q88</t>
  </si>
  <si>
    <t xml:space="preserve">DigiLocker Adapter (Custom)</t>
  </si>
  <si>
    <t xml:space="preserve">OAuth 2.0 document pull (citizen-authorised) + push (post-delivery)</t>
  </si>
  <si>
    <t xml:space="preserve">PAN Verification Adapter (Custom)</t>
  </si>
  <si>
    <t xml:space="preserve">NSDL/UTIITSL REST API for PAN validation</t>
  </si>
  <si>
    <t xml:space="preserve">eSign / eSeal Adapter (Custom)</t>
  </si>
  <si>
    <t xml:space="preserve">CDAC/eMudhra; officer decision digital signature + certificate eSeal</t>
  </si>
  <si>
    <t xml:space="preserve">Payment Gateway Adapter (Custom)</t>
  </si>
  <si>
    <t xml:space="preserve">PayGov + backup PGs; CLIENT-PROVIDED gateways; MSP builds adapter only</t>
  </si>
  <si>
    <t xml:space="preserve">Gateway contract owned by DST</t>
  </si>
  <si>
    <t xml:space="preserve">Extended — DIGIT payment service used</t>
  </si>
  <si>
    <t xml:space="preserve">Per RFP 3.2.10.1.2</t>
  </si>
  <si>
    <t xml:space="preserve">Testing (L16)</t>
  </si>
  <si>
    <t xml:space="preserve">Testing</t>
  </si>
  <si>
    <t xml:space="preserve">Web UI automation across all portals (citizen, officer, admin); cross-browser; headless in CI/CD</t>
  </si>
  <si>
    <t xml:space="preserve">Distributed browser grid for parallel UI test execution; runs as pods in OpenShift</t>
  </si>
  <si>
    <t xml:space="preserve">API testing for all 50 microservices REST endpoints; integrates with Jenkins pipeline</t>
  </si>
  <si>
    <t xml:space="preserve">Java-native; works with Spring Boot test suite</t>
  </si>
  <si>
    <t xml:space="preserve">Consumer-driven contract testing for microservice API contracts; prevents breaking changes</t>
  </si>
  <si>
    <t xml:space="preserve">Performance and load testing; distributed mode for high-concurrency scenarios; SLA validation</t>
  </si>
  <si>
    <t xml:space="preserve">Test execution orchestration in CI/CD pipeline — Playwright, JMeter, ZAP, REST Assured stages in existing Jenkins pipeline</t>
  </si>
  <si>
    <t xml:space="preserve">Reuses existing Jenkins; no new tool; one-tool CI/CD policy maintained</t>
  </si>
  <si>
    <t xml:space="preserve">Data Migration &amp; Data Quality (L17)</t>
  </si>
  <si>
    <t xml:space="preserve">Data Migration &amp; Quality</t>
  </si>
  <si>
    <t xml:space="preserve">Real-time data migration flows from DG 1.0 sources; visual flow design; data extraction during cutover</t>
  </si>
  <si>
    <t xml:space="preserve">For live DG 1.0 extraction and streaming during cutover phase</t>
  </si>
  <si>
    <t xml:space="preserve">Batch ETL transformation pipelines; data cleaning, enrichment, format conversion for migration jobs</t>
  </si>
  <si>
    <t xml:space="preserve">For complex transformation pipelines; Kettle/Spoon successor</t>
  </si>
  <si>
    <t xml:space="preserve">Controlled chunk-based batch migration; restart/retry/skip logic; migration job orchestration</t>
  </si>
  <si>
    <t xml:space="preserve">Reuses Spring ecosystem; embedded in microservice runtime</t>
  </si>
  <si>
    <t xml:space="preserve">Database schema versioning and migration scripts; Git-tracked DDL changes; rollback support</t>
  </si>
  <si>
    <t xml:space="preserve">All environments — schema migrations run at deploy time</t>
  </si>
  <si>
    <t xml:space="preserve">Great Expectations GX Core</t>
  </si>
  <si>
    <t xml:space="preserve">Data quality assertions and validation suites; pre- and post-migration data quality gates</t>
  </si>
  <si>
    <t xml:space="preserve">Data catalogue, metadata management, lineage tracking, data profiling across all DG 2.0 data assets</t>
  </si>
  <si>
    <t xml:space="preserve">Migration reconciliation dashboards — record counts, validation pass/fail rates, cutover progress</t>
  </si>
  <si>
    <t xml:space="preserve">Reuses existing Superset instance; no new infra</t>
  </si>
  <si>
    <t xml:space="preserve">Project Management &amp; Digital Governance (L18)</t>
  </si>
  <si>
    <t xml:space="preserve">Project Management</t>
  </si>
  <si>
    <t xml:space="preserve">Issue tracking, sprint boards, milestones, backlog, Kanban — single tool for all PM needs across MagicSword delivery team</t>
  </si>
  <si>
    <t xml:space="preserve">Replaces GitLab CE (stack conflict) + Focalboard (unmaintained since Sep 2023)</t>
  </si>
  <si>
    <t xml:space="preserve">Gitea (reuse — MR/PR)</t>
  </si>
  <si>
    <t xml:space="preserve">Code review linkage via Gitea Merge Requests / Pull Requests; branch policies; webhook to Jenkins</t>
  </si>
  <si>
    <t xml:space="preserve">Reuses existing Gitea; no new tool</t>
  </si>
  <si>
    <t xml:space="preserve">GitOps release governance; declarative deployment from Git; environment promotion (Dev→Test→UAT→Prod); drift detection</t>
  </si>
  <si>
    <t xml:space="preserve">Included in OCP subscription; no separate deployment or licence</t>
  </si>
  <si>
    <t xml:space="preserve">OpenShift-native pipeline runner for GitOps-triggered deployments; complements Jenkins for infra-level pipeline tasks</t>
  </si>
  <si>
    <t xml:space="preserve">OCP-bundled; used for GitOps deployment triggers only — Jenkins remains sole build/test CI tool</t>
  </si>
  <si>
    <t xml:space="preserve">Environment provisioning governance — tracked in Git, promoted via Argo CD; IaC as release artefact</t>
  </si>
  <si>
    <t xml:space="preserve">Reuses existing IaC stack</t>
  </si>
  <si>
    <t xml:space="preserve">OSS vs COTS vs Custom Breakdown</t>
  </si>
  <si>
    <t xml:space="preserve">% of Total</t>
  </si>
  <si>
    <t xml:space="preserve">Examples</t>
  </si>
  <si>
    <t xml:space="preserve">Open Source Software (OSS)</t>
  </si>
  <si>
    <t xml:space="preserve">Flowable, Keycloak, Kafka, PostgreSQL, OpenSearch, Valkey, Novu, Rasa, etc.</t>
  </si>
  <si>
    <t xml:space="preserve">Majority of stack; aligns with RFP open-source mandate</t>
  </si>
  <si>
    <t xml:space="preserve">COTS (Commercial Off-the-Shelf)</t>
  </si>
  <si>
    <t xml:space="preserve">Red Hat OpenShift, MSG91/Kaleyra, Meta WABA</t>
  </si>
  <si>
    <t xml:space="preserve">Minimised; used only where no viable OSS alternative exists or client mandates</t>
  </si>
  <si>
    <t xml:space="preserve">Custom-built by MSP</t>
  </si>
  <si>
    <t xml:space="preserve">All integration adapters, Consent Management, custom workflows</t>
  </si>
  <si>
    <t xml:space="preserve">MSP-owned IP; no licensing cost; fully maintainable by MSP team</t>
  </si>
  <si>
    <t xml:space="preserve">DIGIT Core Services (foundation)</t>
  </si>
  <si>
    <t xml:space="preserve">~11% of platform layer</t>
  </si>
  <si>
    <t xml:space="preserve">Open-source DPG (MIT); replaces Flowable, Novu, custom grievance, filestore API, MDMS — zero licence cost</t>
  </si>
  <si>
    <t xml:space="preserve">DG 2.0 — Deferred / Conditional Tech Stack Decisions (Pending Pre-bid Responses)</t>
  </si>
  <si>
    <t xml:space="preserve">Ref ID</t>
  </si>
  <si>
    <t xml:space="preserve">Component / Area</t>
  </si>
  <si>
    <t xml:space="preserve">Current Assumption</t>
  </si>
  <si>
    <t xml:space="preserve">Condition / Pre-bid Query</t>
  </si>
  <si>
    <t xml:space="preserve">If Condition MET — Action</t>
  </si>
  <si>
    <t xml:space="preserve">If Condition NOT MET — Fallback</t>
  </si>
  <si>
    <t xml:space="preserve">RAG Status</t>
  </si>
  <si>
    <t xml:space="preserve">D-01</t>
  </si>
  <si>
    <t xml:space="preserve">Aadhaar eKYC Integration</t>
  </si>
  <si>
    <t xml:space="preserve">Toggleable adapter designed; OTP-only flow active by default</t>
  </si>
  <si>
    <t xml:space="preserve">Legal clearance from UIDAI/DST (Q88). RFP 8.2.2.2 explicitly says 'subject to legal clearance'.</t>
  </si>
  <si>
    <t xml:space="preserve">Enable Aadhaar eKYC adapter — full biometric + OTP path activated</t>
  </si>
  <si>
    <t xml:space="preserve">Continue with OTP-only + DigiLocker identity verification as primary path</t>
  </si>
  <si>
    <t xml:space="preserve">RED — must clarify before design phase</t>
  </si>
  <si>
    <t xml:space="preserve">D-02</t>
  </si>
  <si>
    <t xml:space="preserve">eSuvidha SSO — Upgrade vs Replace</t>
  </si>
  <si>
    <t xml:space="preserve">Keycloak identity-broker mode supports both paths; design is path-agnostic</t>
  </si>
  <si>
    <t xml:space="preserve">DST direction on whether existing eSuvidha SSO is upgraded or replaced (Q83)</t>
  </si>
  <si>
    <t xml:space="preserve">Configure Keycloak as federation broker over upgraded eSuvidha</t>
  </si>
  <si>
    <t xml:space="preserve">Migrate all eSuvidha credentials directly to Keycloak native store</t>
  </si>
  <si>
    <t xml:space="preserve">AMBER — architecture ready for both; needs DST decision by M2</t>
  </si>
  <si>
    <t xml:space="preserve">D-03</t>
  </si>
  <si>
    <t xml:space="preserve">Bhashini API Availability &amp; SLA</t>
  </si>
  <si>
    <t xml:space="preserve">Bhashini integrated for translation + speech-to-text; Phase 1 dependent</t>
  </si>
  <si>
    <t xml:space="preserve">MeitY Bhashini API availability, SLA guarantees, and GOG MoU (Q100)</t>
  </si>
  <si>
    <t xml:space="preserve">Proceed with Bhashini as primary NLP/translation layer</t>
  </si>
  <si>
    <t xml:space="preserve">Fall back to IndicTrans2 (AI4Bharat) self-hosted model for translation</t>
  </si>
  <si>
    <t xml:space="preserve">AMBER — fallback designed and ready</t>
  </si>
  <si>
    <t xml:space="preserve">D-04</t>
  </si>
  <si>
    <t xml:space="preserve">Deduplication Confidence Threshold</t>
  </si>
  <si>
    <t xml:space="preserve">Default 85% fuzzy-match threshold in Elasticsearch dedup engine</t>
  </si>
  <si>
    <t xml:space="preserve">DST to confirm acceptable dedup threshold — too low = false positives; too high = missed dupes (Q97)</t>
  </si>
  <si>
    <t xml:space="preserve">Configure threshold as per DST guidance; update Rego policy</t>
  </si>
  <si>
    <t xml:space="preserve">Proceed with 85% default; make it admin-configurable post-go-live</t>
  </si>
  <si>
    <t xml:space="preserve">AMBER — functional; configurable at any time</t>
  </si>
  <si>
    <t xml:space="preserve">D-05</t>
  </si>
  <si>
    <t xml:space="preserve">HSM TPS Sizing</t>
  </si>
  <si>
    <t xml:space="preserve">HSM provided by DST/GSDC; MSP integrates only</t>
  </si>
  <si>
    <t xml:space="preserve">DST to confirm HSM model, TPS capacity, and API interface available at GSDC (Q99)</t>
  </si>
  <si>
    <t xml:space="preserve">Design field-level encryption throughput based on confirmed HSM TPS</t>
  </si>
  <si>
    <t xml:space="preserve">Flag as infra risk if HSM TPS &lt; 500 TPS for peak load scenario</t>
  </si>
  <si>
    <t xml:space="preserve">AMBER — depends on DST infrastructure confirmation</t>
  </si>
  <si>
    <t xml:space="preserve">D-06</t>
  </si>
  <si>
    <t xml:space="preserve">Biometric Device SDK — Device Family</t>
  </si>
  <si>
    <t xml:space="preserve">Adapter pattern designed; supports multiple device families</t>
  </si>
  <si>
    <t xml:space="preserve">DST to confirm preferred Aadhaar-enabled biometric device families — Mantra, Morpho, Precision, Tatvik (Q88 / Q-3.2.1-C)</t>
  </si>
  <si>
    <t xml:space="preserve">Build SDK integration for specified device families; certify against RD Service</t>
  </si>
  <si>
    <t xml:space="preserve">Build adapter for top 2 families by market share (Mantra + Morpho) as default</t>
  </si>
  <si>
    <t xml:space="preserve">AMBER — adapter pattern ready</t>
  </si>
  <si>
    <t xml:space="preserve">D-07</t>
  </si>
  <si>
    <t xml:space="preserve">DPDP Compliance — Specific Rules</t>
  </si>
  <si>
    <t xml:space="preserve">Architecture is rule-engine driven; consent, erasure, portability workflows built</t>
  </si>
  <si>
    <t xml:space="preserve">MeitY DPDP Rules not yet finalised; breach notification window, erasure SLA, DPO designation unclear (Q106)</t>
  </si>
  <si>
    <t xml:space="preserve">Update retention-policy engine config and SLA parameters when rules finalised</t>
  </si>
  <si>
    <t xml:space="preserve">Operate under conservative defaults: 72-hour breach notice, 30-day erasure SLA, MSP as data processor only</t>
  </si>
  <si>
    <t xml:space="preserve">RED — regulatory dependency; monitor MeitY gazette</t>
  </si>
  <si>
    <t xml:space="preserve">D-08</t>
  </si>
  <si>
    <t xml:space="preserve">Academic Bank of Credits (ABC) Adapter</t>
  </si>
  <si>
    <t xml:space="preserve">ABC adapter in scope; Phase 1 tentative</t>
  </si>
  <si>
    <t xml:space="preserve">MoE ABC API specifications, availability, and integration agreement timeline (Q-3.2.1-B)</t>
  </si>
  <si>
    <t xml:space="preserve">Build ABC adapter in Phase 1 alongside DigiLocker</t>
  </si>
  <si>
    <t xml:space="preserve">Defer ABC adapter to Phase 2; DigiLocker covers qualification docs as fallback</t>
  </si>
  <si>
    <t xml:space="preserve">AMBER — fallback available</t>
  </si>
  <si>
    <t xml:space="preserve">D-09</t>
  </si>
  <si>
    <t xml:space="preserve">Service Version A/B Traffic Split Scope</t>
  </si>
  <si>
    <t xml:space="preserve">A/B split limited to non-substantive metadata changes only</t>
  </si>
  <si>
    <t xml:space="preserve">DST to confirm whether workflow-affecting changes can also be A/B split or must follow full version migration (Q-3.2.3-C)</t>
  </si>
  <si>
    <t xml:space="preserve">Expand A/B capability to workflow changes if DST approves and legal review clears</t>
  </si>
  <si>
    <t xml:space="preserve">Retain current decision: A/B for metadata only; full version migration for workflow changes</t>
  </si>
  <si>
    <t xml:space="preserve">AMBER — conservative default applied</t>
  </si>
  <si>
    <t xml:space="preserve">D-10</t>
  </si>
  <si>
    <t xml:space="preserve">State PKI Integration for Officer Digital Signature</t>
  </si>
  <si>
    <t xml:space="preserve">eSign via CDAC/eMudhra primary; State PKI as optional/conditional</t>
  </si>
  <si>
    <t xml:space="preserve">Availability of Gujarat State PKI infrastructure for officer approval digital signatures (Q-3.2.2-D)</t>
  </si>
  <si>
    <t xml:space="preserve">Integrate State PKI adapter alongside CDAC/eMudhra as a configurable option</t>
  </si>
  <si>
    <t xml:space="preserve">Use CDAC/eMudhra eSign exclusively for all officer digital signatures</t>
  </si>
  <si>
    <t xml:space="preserve">AMBER — CDAC fallback fully functional</t>
  </si>
  <si>
    <t xml:space="preserve">D-11</t>
  </si>
  <si>
    <t xml:space="preserve">Gujarat State HRMS Connector Protocol</t>
  </si>
  <si>
    <t xml:space="preserve">SCIM 2.0 adapter designed; REST fallback available</t>
  </si>
  <si>
    <t xml:space="preserve">HRMS team to confirm API availability, SCIM 2.0 support or alternative protocol (Q84)</t>
  </si>
  <si>
    <t xml:space="preserve">Use SCIM 2.0 for officer provisioning; real-time sync</t>
  </si>
  <si>
    <t xml:space="preserve">Batch SFTP/CSV import from HRMS as fallback; manual override for de-provisioning</t>
  </si>
  <si>
    <t xml:space="preserve">AMBER — both paths designed</t>
  </si>
  <si>
    <t xml:space="preserve">D-12</t>
  </si>
  <si>
    <t xml:space="preserve">Attribute-level Consent Granularity</t>
  </si>
  <si>
    <t xml:space="preserve">Assumes 40 CAF attributes with grouped consent categories (not per-attribute)</t>
  </si>
  <si>
    <t xml:space="preserve">DST to confirm whether each CAF attribute carries independent consent flag or grouped categories (Q-3.2.1-E)</t>
  </si>
  <si>
    <t xml:space="preserve">If per-attribute: expand consent data model to 40 independent flags; rebuild consent UI</t>
  </si>
  <si>
    <t xml:space="preserve">Proceed with grouped consent categories (e.g., Identity, Address, Financial, Education, Family)</t>
  </si>
  <si>
    <t xml:space="preserve">AMBER — grouped default is lower complexity; per-attribute doubles consent UI effort</t>
  </si>
  <si>
    <t xml:space="preserve">D-13</t>
  </si>
  <si>
    <t xml:space="preserve">Karmyogi SSO Federation Protocol</t>
  </si>
  <si>
    <t xml:space="preserve">SAML 2.0 adapter designed; OIDC adapter also available</t>
  </si>
  <si>
    <t xml:space="preserve">Karmyogi platform to confirm supported federation protocol (Q84 / Q-3.2.2-E)</t>
  </si>
  <si>
    <t xml:space="preserve">Activate SAML 2.0 or OIDC adapter per Karmyogi specification</t>
  </si>
  <si>
    <t xml:space="preserve">Manual officer onboarding with HRMS batch import if Karmyogi federation unavailable at launch</t>
  </si>
  <si>
    <t xml:space="preserve">AMBER</t>
  </si>
  <si>
    <t xml:space="preserve">D-14</t>
  </si>
  <si>
    <t xml:space="preserve">WhatsApp BSP Selection and Onboarding</t>
  </si>
  <si>
    <t xml:space="preserve">Approved BSP TBD; BSP onboarding timeline 4-8 weeks</t>
  </si>
  <si>
    <t xml:space="preserve">DST to initiate or confirm approved WhatsApp BSP vendor; onboarding must start by T+30 days (M1)</t>
  </si>
  <si>
    <t xml:space="preserve">Onboard selected BSP; activate WhatsApp channel in Novu</t>
  </si>
  <si>
    <t xml:space="preserve">SMS as primary notification channel until WhatsApp BSP onboarded; no citizen impact</t>
  </si>
  <si>
    <t xml:space="preserve">AMBER — start BSP procurement at T+30 days immediately after contract signing</t>
  </si>
  <si>
    <t xml:space="preserve">Principle ID</t>
  </si>
  <si>
    <t xml:space="preserve">Principle Name</t>
  </si>
  <si>
    <t xml:space="preserve">Statement</t>
  </si>
  <si>
    <t xml:space="preserve">Implication / Constraint</t>
  </si>
  <si>
    <t xml:space="preserve">Source</t>
  </si>
  <si>
    <t xml:space="preserve">AP-01</t>
  </si>
  <si>
    <t xml:space="preserve">Microservices-First</t>
  </si>
  <si>
    <t xml:space="preserve">The platform is decomposed into 50 independent microservices across 16 domains. Each service owns its data, exposes versioned APIs, and deploys independently.</t>
  </si>
  <si>
    <t xml:space="preserve">No monolithic modules. Every new capability is a new service or an extension of an existing one. Shared libraries only — never shared databases between services.</t>
  </si>
  <si>
    <t xml:space="preserve">RFP 8.2 + Chat 1 architecture decision</t>
  </si>
  <si>
    <t xml:space="preserve">AP-02</t>
  </si>
  <si>
    <t xml:space="preserve">API-First</t>
  </si>
  <si>
    <t xml:space="preserve">All functionality is exposed through versioned REST APIs (OpenAPI 3.0 spec) before any UI is built. APIs are the contract; UI is a consumer.</t>
  </si>
  <si>
    <t xml:space="preserve">API spec must be designed and reviewed before coding starts. No UI-only features — every UI action must have a corresponding API.</t>
  </si>
  <si>
    <t xml:space="preserve">RFP 3.1.3.3</t>
  </si>
  <si>
    <t xml:space="preserve">AP-03</t>
  </si>
  <si>
    <t xml:space="preserve">Event-Driven by Default</t>
  </si>
  <si>
    <t xml:space="preserve">All cross-service communication uses Kafka events. Synchronous REST calls are used only where legal or real-time user-response requirements mandate it.</t>
  </si>
  <si>
    <t xml:space="preserve">Services do not call each other's APIs for state changes. They publish events; downstream services consume and react. This enables eventual consistency and independent scaling.</t>
  </si>
  <si>
    <t xml:space="preserve">RFP 8.2 + DR-3.2.4-01</t>
  </si>
  <si>
    <t xml:space="preserve">AP-04</t>
  </si>
  <si>
    <t xml:space="preserve">Open-Source First</t>
  </si>
  <si>
    <t xml:space="preserve">The technology stack is predominantly open-source (Apache 2.0 / MIT / BSD). Proprietary products are selected only where no open-source alternative meets the functional requirement.</t>
  </si>
  <si>
    <t xml:space="preserve">Every new product proposal must justify why an OSS alternative is insufficient. Default decision is OSS.</t>
  </si>
  <si>
    <t xml:space="preserve">RFP 8.2 + RFP Criterion 3 (30 marks)</t>
  </si>
  <si>
    <t xml:space="preserve">AP-05</t>
  </si>
  <si>
    <t xml:space="preserve">Single Container Platform — Red Hat OpenShift</t>
  </si>
  <si>
    <t xml:space="preserve">Red Hat OpenShift Container Platform (OCP) is the sole container orchestration and runtime platform. No parallel Kubernetes clusters.</t>
  </si>
  <si>
    <t xml:space="preserve">All deployments go through OpenShift. Service Mesh, Monitoring, Logging, and Tracing are consumed from OCP-bundled components — not from separate deployments.</t>
  </si>
  <si>
    <t xml:space="preserve">User decision — Point 10 of tech stack review</t>
  </si>
  <si>
    <t xml:space="preserve">AP-06</t>
  </si>
  <si>
    <t xml:space="preserve">Zero-Trust Security Model</t>
  </si>
  <si>
    <t xml:space="preserve">No implicit trust between any two services or users. All service-to-service traffic is mTLS-encrypted (via OpenShift Service Mesh / Istio). All APIs require JWT. All data at rest is encrypted.</t>
  </si>
  <si>
    <t xml:space="preserve">Service Mesh mandatory for all internal traffic. HSM (client-provided) mandatory for field-level encryption of PII. All citizen PII fields tagged and access-gated by Consent Service.</t>
  </si>
  <si>
    <t xml:space="preserve">RFP 8.2 Security + DPDP compliance</t>
  </si>
  <si>
    <t xml:space="preserve">AP-07</t>
  </si>
  <si>
    <t xml:space="preserve">One Tool Per Function</t>
  </si>
  <si>
    <t xml:space="preserve">For each functional area, exactly one technology is selected. Dual-tool configurations (e.g., two API gateways, two CI/CD tools, two BPM engines) are not permitted.</t>
  </si>
  <si>
    <t xml:space="preserve">Eliminates operational overhead, licensing duplication, and team skill fragmentation. Any future change requires deprecating the current tool before introducing a new one.</t>
  </si>
  <si>
    <t xml:space="preserve">User decision — Point 12 of tech stack review</t>
  </si>
  <si>
    <t xml:space="preserve">AP-08</t>
  </si>
  <si>
    <t xml:space="preserve">Configurable Without Code Changes</t>
  </si>
  <si>
    <t xml:space="preserve">Business rules, workflow definitions, approval hierarchies, service metadata, fee rules, eligibility rules, and notification templates must be modifiable by authorised administrators without code deployment.</t>
  </si>
  <si>
    <t xml:space="preserve">Drools for fee/eligibility rules (admin UI → Rego/rule update). Flowable for BPMN workflows (web modeler). Novu for notification templates. Formio for forms. No hardcoded business logic in application code.</t>
  </si>
  <si>
    <t xml:space="preserve">RFP 8.2 Configurability principle</t>
  </si>
  <si>
    <t xml:space="preserve">AP-09</t>
  </si>
  <si>
    <t xml:space="preserve">Complete Audit Trail</t>
  </si>
  <si>
    <t xml:space="preserve">Every transaction, decision, data access, consent action, and configuration change generates an immutable audit event published to Kafka and stored in Apache Iceberg (append-only).</t>
  </si>
  <si>
    <t xml:space="preserve">Audit is not optional for any service. Every microservice must implement the audit event producer. Audit store is separate from operational databases. Accessible to SIEM (Wazuh).</t>
  </si>
  <si>
    <t xml:space="preserve">RFP 8.2 Audit Compliance principle</t>
  </si>
  <si>
    <t xml:space="preserve">AP-10</t>
  </si>
  <si>
    <t xml:space="preserve">Mobile-First + Offline Capability</t>
  </si>
  <si>
    <t xml:space="preserve">All citizen-facing features have full parity across Web (PWA), iOS (native), and Android (native). Field officer features support offline data capture with background sync.</t>
  </si>
  <si>
    <t xml:space="preserve">No feature can be web-only. Every API must be designed for mobile bandwidth constraints. Offline SQLite for field inspection; sync via background queue.</t>
  </si>
  <si>
    <t xml:space="preserve">RFP 8.2 Mobile-first + Section 3.2.11</t>
  </si>
  <si>
    <t xml:space="preserve">AP-11</t>
  </si>
  <si>
    <t xml:space="preserve">Data Residency — On-Premise GSDC</t>
  </si>
  <si>
    <t xml:space="preserve">All citizen PII, application data, certificate data, and AI model weights are stored and processed exclusively on GSDC (Gujarat State Data Centre) infrastructure. No citizen data moves to external cloud.</t>
  </si>
  <si>
    <t xml:space="preserve">No SaaS products that store citizen data externally. Bhashini, SMS/WhatsApp gateways receive only the minimum payload required (no CAF data in notifications). LLM runs on-prem via vLLM.</t>
  </si>
  <si>
    <t xml:space="preserve">RFP 8.4 Infrastructure + GOG data sovereignty policy</t>
  </si>
  <si>
    <t xml:space="preserve">AP-12</t>
  </si>
  <si>
    <t xml:space="preserve">Service Versions Are Immutable</t>
  </si>
  <si>
    <t xml:space="preserve">Once a service version is published and live, its workflow and form definitions are immutable. In-flight applications continue under the version at which they were submitted. New applications use the latest published version.</t>
  </si>
  <si>
    <t xml:space="preserve">In-flight application isolation is guaranteed. No retroactive changes to active applications. Rollback of a service version does not affect applications already submitted under that version.</t>
  </si>
  <si>
    <t xml:space="preserve">DR-023 — locked in Section 3.2.3 analysis</t>
  </si>
  <si>
    <t xml:space="preserve">AP-13</t>
  </si>
  <si>
    <t xml:space="preserve">Polyglot Persistence — PostgreSQL as Default</t>
  </si>
  <si>
    <t xml:space="preserve">Each microservice chooses the appropriate data store for its access patterns. PostgreSQL is the default OLTP store. MongoDB is used only for document/flexible-schema needs. Valkey for cache. OpenSearch for search/analytics.</t>
  </si>
  <si>
    <t xml:space="preserve">No cross-service database access. No shared schemas. Data replication between services via Kafka events only.</t>
  </si>
  <si>
    <t xml:space="preserve">DR-002 — locked in Section 3.2.1 analysis</t>
  </si>
  <si>
    <t xml:space="preserve">AP-14</t>
  </si>
  <si>
    <t xml:space="preserve">SLA is a First-Class Platform Citizen</t>
  </si>
  <si>
    <t xml:space="preserve">Every application stage, officer action, and grievance resolution step has a defined SLA. SLA countdown is tracked in real time by the platform (Camunda/Flowable process instance state + Prometheus metric). Breach triggers automated escalation.</t>
  </si>
  <si>
    <t xml:space="preserve">SLA computation is a platform service, not a departmental concern. The SLA batch job (Airflow OBJ-01) runs every 15 minutes. Real-time breach alert via WebSocket to officer dashboard.</t>
  </si>
  <si>
    <t xml:space="preserve">RFP 8.2 SLA + Section 3.2.4.2.1</t>
  </si>
  <si>
    <t xml:space="preserve">AP-15</t>
  </si>
  <si>
    <t xml:space="preserve">Architectural Guidelines Are Directional</t>
  </si>
  <si>
    <t xml:space="preserve">Architecture decisions in RFP Vol 1 Section 8.1 and 8.2 are proposed guidelines, not binding mandates. MSP may propose equivalent or superior alternatives subject to DST evaluation and mutual agreement.</t>
  </si>
  <si>
    <t xml:space="preserve">MSP has design freedom within the open-source, microservices, API-first, and data-residency constraints. All substitutions must be documented in the Decision Register and approved by DST before implementation.</t>
  </si>
  <si>
    <t xml:space="preserve">RFP 3.1.3.2 explicit text</t>
  </si>
  <si>
    <t xml:space="preserve">DG 2.0 Technology Stack Register — How to Read This Document</t>
  </si>
  <si>
    <t xml:space="preserve">PURPOSE OF THIS DOCUMENT</t>
  </si>
  <si>
    <t xml:space="preserve">This workbook is the authoritative Technology Stack Register for the Digital Gujarat 2.0 (DG 2.0) project.</t>
  </si>
  <si>
    <t xml:space="preserve">It consolidates all product decisions made during the section-by-section RFP walkthrough (Sections 3.2.1 through 3.2.x).</t>
  </si>
  <si>
    <t xml:space="preserve">It serves as the source of truth for Annexure E (Technology Stack and Licensing) in the Technical Solution Document (TSD).</t>
  </si>
  <si>
    <t xml:space="preserve">It also feeds directly into: infrastructure sizing (Section 12 of TSD), open-source strategy (Section 5), and the BoQ (Annexure D).</t>
  </si>
  <si>
    <t xml:space="preserve">TAB 1 — TECH STACK: ALL LAYERS</t>
  </si>
  <si>
    <t xml:space="preserve">Lists every technology product organised by functional layer (L1 through L18). L11 — Security is intentionally left blank in this version: the security team owns and will populate that layer directly.</t>
  </si>
  <si>
    <t xml:space="preserve">Layer separator rows (bold) group related components. Each data row is one product or technology.</t>
  </si>
  <si>
    <t xml:space="preserve">Columns: Layer | Component / Function | Product | Licence | Open Source? | Enterprise Support? | Notes</t>
  </si>
  <si>
    <t xml:space="preserve">Use this tab for the complete inventory. If a product is not in this tab, it has not been selected.</t>
  </si>
  <si>
    <t xml:space="preserve">Client-provided components (HSM, Payment Gateways) are listed with 'Client-provided' notation — they are included for integration context only.</t>
  </si>
  <si>
    <t xml:space="preserve">TAB 2 — CONSOLIDATED SUMMARY</t>
  </si>
  <si>
    <t xml:space="preserve">The primary reference tab for bid preparation and TSD writing.</t>
  </si>
  <si>
    <t xml:space="preserve">Every row is one technology with its environment coverage marked as 'x' across Dev / Test / UAT / Sandbox / Prod columns.</t>
  </si>
  <si>
    <t xml:space="preserve">Environment key: Dev = developer local/shared dev cluster | Test = integration test environment | UAT/Training = UAT + training environment | Sandbox = external integrators + dept sandbox | Prod = production GSDC environment.</t>
  </si>
  <si>
    <t xml:space="preserve">OSS / COTS / Custom column: OSS = open-source; COTS = commercial off-the-shelf; Custom = bespoke MSP-built.</t>
  </si>
  <si>
    <t xml:space="preserve">The breakdown table at the bottom of Tab 2 auto-counts OSS vs COTS vs Custom totals — use for open-source compliance reporting.</t>
  </si>
  <si>
    <t xml:space="preserve">Enterprise Support? column: 'Yes' means a commercial support contract is needed. RFP Section 3.1.9.2 mandates enterprise support for OS, virtualisation, RDBMS, analytics tools, and all third-party products.</t>
  </si>
  <si>
    <t xml:space="preserve">TAB 3 — DEFERRED &amp; CONDITIONAL DECISIONS</t>
  </si>
  <si>
    <t xml:space="preserve">Lists all technology decisions that are currently based on an assumption and will be finalised only after pre-bid query responses or DST direction.</t>
  </si>
  <si>
    <t xml:space="preserve">RAG Status: RED = blocking (must be resolved before design phase starts) | AMBER = non-blocking (fallback available; monitor) | GREEN = resolved.</t>
  </si>
  <si>
    <t xml:space="preserve">Each item has a current assumption, the specific condition or query it depends on, and both a primary action (if condition met) and a fallback (if not).</t>
  </si>
  <si>
    <t xml:space="preserve">This tab feeds directly into Annexure B (Risk Register) and the Compliance Matrix (Annexure C).</t>
  </si>
  <si>
    <t xml:space="preserve">Review this tab after every pre-bid query response from DST and update RAG status accordingly.</t>
  </si>
  <si>
    <t xml:space="preserve">TAB 4 — KEY ARCHITECTURE PRINCIPLES</t>
  </si>
  <si>
    <t xml:space="preserve">Lists 15 locked architecture principles that govern all technology and design decisions.</t>
  </si>
  <si>
    <t xml:space="preserve">These principles are derived from RFP Volume 1 Sections 8.1 and 8.2, user decisions during the tech stack review, and the decision register (DR-001 onwards).</t>
  </si>
  <si>
    <t xml:space="preserve">'Locked' means: these principles cannot be changed unilaterally by the MSP. Any modification requires mutual agreement with DST (per RFP 3.1.3.2).</t>
  </si>
  <si>
    <t xml:space="preserve">TSD Section 4.1 (Architecture Principles) content should be drawn directly from this tab.</t>
  </si>
  <si>
    <t xml:space="preserve">These principles also serve as the evaluation rubric for technology proposals — any new product must not violate these principles.</t>
  </si>
  <si>
    <t xml:space="preserve">ENVIRONMENT CONVENTIONS</t>
  </si>
  <si>
    <t xml:space="preserve">Dev Environment: Used by developers for coding, unit testing, and integration testing. All tools deployed. Minimal data (synthetic only).</t>
  </si>
  <si>
    <t xml:space="preserve">Test Environment: Full integration test environment. All services deployed. Automated regression suite runs here. Performance benchmarks start here.</t>
  </si>
  <si>
    <t xml:space="preserve">UAT / Training Environment: Used by DST and department users for acceptance testing and training. Production-like configuration. Anonymised citizen data.</t>
  </si>
  <si>
    <t xml:space="preserve">Sandbox Environment: Exposed to external integrators (departments onboarding, third-party vendors). Stable APIs. Mock backend responses. No real citizen data.</t>
  </si>
  <si>
    <t xml:space="preserve">Production Environment: GSDC live deployment serving 6 crore citizens. Full enterprise support active. AV scanning, WAF, SIEM, Service Mesh — all live.</t>
  </si>
  <si>
    <t xml:space="preserve">KEY DECISIONS RECORDED IN THIS VERSION</t>
  </si>
  <si>
    <t xml:space="preserve">1. WSO2 API Manager selected as sole API gateway (Kong dropped). Reason: full API lifecycle, built-in developer portal, stronger India GOG references.</t>
  </si>
  <si>
    <t xml:space="preserve">2. Flowable Open Source replaces Camunda 8. Reason: Camunda 8 requires commercial licence for production since October 2024 — violates RFP open-source mandate.</t>
  </si>
  <si>
    <t xml:space="preserve">3. Valkey 8.1 replaces Redis. Reason: BSD 3-Clause licence (no SSPL/AGPL risk), 8% faster, 20% lower memory, Linux Foundation governance.</t>
  </si>
  <si>
    <t xml:space="preserve">4. OpenSearch 2.x replaces Elasticsearch. Reason: Apache 2.0 licence (no SSPL), includes RBAC + audit logging free, sufficient for DG2.0 search workloads.</t>
  </si>
  <si>
    <t xml:space="preserve">5. pgvector replaces Milvus/Qdrant. Reason: DG2.0 vector scale (&lt;1M vectors) is well within pgvector HNSW capability; eliminates a separate infrastructure component.</t>
  </si>
  <si>
    <t xml:space="preserve">6. Apache Iceberg replaces Delta Lake. Reason: True Apache Foundation governance (no single-vendor control), engine-agnostic, better long-term neutrality for 6-9 year project.</t>
  </si>
  <si>
    <t xml:space="preserve">7. Apache Doris replaces ClickHouse/Apache Druid. Reason: Fully Apache-licensed, real-time + batch OLAP, MySQL-compatible protocol, simpler operations.</t>
  </si>
  <si>
    <t xml:space="preserve">8. ALTCHA replaces hCaptcha. Reason: MIT licence, fully self-hosted, proof-of-work (no fingerprinting), DPDP/GDPR safe, zero external CDN dependency.</t>
  </si>
  <si>
    <t xml:space="preserve">9. Gitea replaces GitLab CE. Reason: MIT licence, minimal resource footprint, no duplicate stack (GitLab CE needs PG+Redis+Puma+Sidekiq internally).</t>
  </si>
  <si>
    <t xml:space="preserve">10. Jenkins retained as sole CI/CD (GitLab CI dropped). Reason: one-tool policy; Jenkins has mature OpenShift + Sonar + ZAP plugins.</t>
  </si>
  <si>
    <t xml:space="preserve">11. Red Hat OpenShift confirmed as container platform. Istio, Prometheus, Logging, Tracing are all bundled — not separately deployed or licensed.</t>
  </si>
  <si>
    <t xml:space="preserve">12. HSM and Payment Gateways removed from MSP stack — confirmed client-provided per RFP Section 8.4.</t>
  </si>
  <si>
    <t xml:space="preserve">13. WebSocket (Spring WebSocket STOMP/SockJS) added to Layer 1 for real-time UI push (SLA countdown, live queue, status notifications).</t>
  </si>
  <si>
    <t xml:space="preserve">VERSION HISTORY</t>
  </si>
  <si>
    <t xml:space="preserve">v1.0 — Initial consolidated stack from Chat 1 (baseline, 45 components)</t>
  </si>
  <si>
    <t xml:space="preserve">DIGIT eGov (v4 addition)</t>
  </si>
  <si>
    <t xml:space="preserve">Green fill (DIGIT sheet) = DIGIT core service used as-is | Coral fill = DG 2.0 custom build (DIGIT gap) | Amber fill = DIGIT service partially used / extended. See 'DIGIT eGov Integration' sheet for full breakdown.</t>
  </si>
  <si>
    <t xml:space="preserve">v3.0 — Current: post-review incorporating 23 observations from technology review session. 51 final components across 15 layers.
v4.2: Four targeted changes:
  1. MongoDB Community (SSPL) removed — CAF flexible-schema workload absorbed into PostgreSQL 16 JSONB with GIN index. SSPL risk eliminated.
  2. MinIO (AGPL-3.0) replaced by Rook-Ceph (LGPL-2.1) — Kubernetes-native Ceph deployed via Rook operator on OCP; egov-filestore API layer unchanged.
  3. Three new L7 Data Store extensions added: TimescaleDB (Apache 2.0, time-series), PostGIS (GPL-2.0, spatial/GIS), CloudNativePG/CNPG Operator (Apache 2.0, PostgreSQL HA on OCP).
  4. AP-13 strengthened — PostgreSQL now handles relational, JSONB/document, time-series, spatial, and vector workloads from a single cluster. MongoDB row removed from all tabs.
v4.3 — Current: AI/ML layer — Sarvam 30B (Apache 2.0, IndiaAI Mission sovereign Indic MoE LLM) added as primary on-prem LLM; Llama 3.x retained as fallback on the same vLLM serving path. Bhashini STT/TTS dependency (D-03) de-risked with a self-hosted Sarvam speech fallback (on-prem, AP-11 compliant). Syncs with TSD Section 8 v2.
v4.4 — Current: Synced 'Tech Stack — All Layers' tab with 'Consolidated Summary', which already had three layers the All-Layers tab was missing — L16 Testing (Playwright, Selenium Grid, REST Assured, Pact, JMeter), L17 Data Migration &amp; Quality (Apache NiFi, Apache Hop, Spring Batch, Liquibase, Great Expectations GX Core, OpenMetadata, Superset reuse), and L18 Project Management &amp; Digital Governance (Plane, Gitea reuse, OpenShift GitOps/Argo CD, OpenShift Pipelines/Tekton, Terraform+Ansible reuse). 73 components across 18 layers. L11 — Security rows deliberately left blank — owned and to be populated by the security team, not synced from any other tab.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</si>
</sst>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1A1A1A"/>
      <name val="Arial"/>
      <family val="2"/>
      <charset val="1"/>
    </font>
    <font>
      <b val="true"/>
      <sz val="10"/>
      <color rgb="FF1A1A1A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F6E56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7D6608"/>
      <name val="Arial"/>
      <family val="2"/>
      <charset val="1"/>
    </font>
    <font>
      <sz val="9"/>
      <color rgb="FF566573"/>
      <name val="Arial"/>
      <family val="2"/>
      <charset val="1"/>
    </font>
    <font>
      <b val="true"/>
      <sz val="9"/>
      <color rgb="FF0F6E56"/>
      <name val="Arial"/>
      <family val="2"/>
      <charset val="1"/>
    </font>
    <font>
      <b val="true"/>
      <sz val="9"/>
      <color rgb="FF7B241C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1"/>
      <name val="Arial"/>
      <family val="2"/>
      <charset val="1"/>
    </font>
    <font>
      <sz val="10"/>
      <color rgb="FF0F6E56"/>
      <name val="Arial"/>
      <family val="2"/>
      <charset val="1"/>
    </font>
    <font>
      <sz val="1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2" tint="-0.25"/>
        <bgColor rgb="FFB0B7BD"/>
      </patternFill>
    </fill>
    <fill>
      <patternFill patternType="solid">
        <fgColor rgb="FF8A4711"/>
        <bgColor rgb="FF7D6608"/>
      </patternFill>
    </fill>
    <fill>
      <patternFill patternType="solid">
        <fgColor rgb="FF2E7A85"/>
        <bgColor rgb="FF0F6E56"/>
      </patternFill>
    </fill>
    <fill>
      <patternFill patternType="solid">
        <fgColor rgb="FF0F6E56"/>
        <bgColor rgb="FF2E7A85"/>
      </patternFill>
    </fill>
    <fill>
      <patternFill patternType="solid">
        <fgColor rgb="FFFFFFFF"/>
        <bgColor rgb="FFFEF9E7"/>
      </patternFill>
    </fill>
    <fill>
      <patternFill patternType="solid">
        <fgColor rgb="FFFEF9E7"/>
        <bgColor rgb="FFF4F6F7"/>
      </patternFill>
    </fill>
    <fill>
      <patternFill patternType="solid">
        <fgColor rgb="FFF4F6F7"/>
        <bgColor rgb="FFFEF9E7"/>
      </patternFill>
    </fill>
    <fill>
      <patternFill patternType="solid">
        <fgColor rgb="FFE1F5EE"/>
        <bgColor rgb="FFF4F6F7"/>
      </patternFill>
    </fill>
    <fill>
      <patternFill patternType="solid">
        <fgColor rgb="FFFADBD8"/>
        <bgColor rgb="FFF4F6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0B7BD"/>
      </left>
      <right style="thin">
        <color rgb="FFB0B7BD"/>
      </right>
      <top style="thin">
        <color rgb="FFB0B7BD"/>
      </top>
      <bottom style="thin">
        <color rgb="FFB0B7BD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41C"/>
      <rgbColor rgb="FF008000"/>
      <rgbColor rgb="FF000080"/>
      <rgbColor rgb="FF7D6608"/>
      <rgbColor rgb="FF800080"/>
      <rgbColor rgb="FF0F6E56"/>
      <rgbColor rgb="FFB0B7BD"/>
      <rgbColor rgb="FF808080"/>
      <rgbColor rgb="FF9999FF"/>
      <rgbColor rgb="FF993366"/>
      <rgbColor rgb="FFFEF9E7"/>
      <rgbColor rgb="FFE1F5EE"/>
      <rgbColor rgb="FF660066"/>
      <rgbColor rgb="FFFF8080"/>
      <rgbColor rgb="FF0066CC"/>
      <rgbColor rgb="FFC4BD97"/>
      <rgbColor rgb="FF000080"/>
      <rgbColor rgb="FFFF00FF"/>
      <rgbColor rgb="FFFFFF00"/>
      <rgbColor rgb="FF00FFFF"/>
      <rgbColor rgb="FF800080"/>
      <rgbColor rgb="FF800000"/>
      <rgbColor rgb="FF2E7A85"/>
      <rgbColor rgb="FF0000FF"/>
      <rgbColor rgb="FF00CCFF"/>
      <rgbColor rgb="FFF4F6F7"/>
      <rgbColor rgb="FFCCFFCC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000"/>
      <rgbColor rgb="FFFF9900"/>
      <rgbColor rgb="FFFF6600"/>
      <rgbColor rgb="FF566573"/>
      <rgbColor rgb="FF969696"/>
      <rgbColor rgb="FF003366"/>
      <rgbColor rgb="FF339966"/>
      <rgbColor rgb="FF003300"/>
      <rgbColor rgb="FF333300"/>
      <rgbColor rgb="FF8A4711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33" activePane="bottomLeft" state="frozen"/>
      <selection pane="topLeft" activeCell="A1" activeCellId="0" sqref="A1"/>
      <selection pane="bottomLeft" activeCell="B45" activeCellId="0" sqref="B45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55"/>
  </cols>
  <sheetData>
    <row r="1" customFormat="false" ht="23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75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39.75" hidden="false" customHeight="true" outlineLevel="0" collapsed="false">
      <c r="A3" s="2" t="s">
        <v>7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17</v>
      </c>
    </row>
    <row r="4" customFormat="false" ht="39.75" hidden="false" customHeight="true" outlineLevel="0" collapsed="false">
      <c r="A4" s="2" t="s">
        <v>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 customFormat="false" ht="39.75" hidden="false" customHeight="true" outlineLevel="0" collapsed="false">
      <c r="A5" s="2" t="s">
        <v>7</v>
      </c>
      <c r="B5" s="2" t="s">
        <v>23</v>
      </c>
      <c r="C5" s="2" t="s">
        <v>24</v>
      </c>
      <c r="D5" s="2" t="s">
        <v>10</v>
      </c>
      <c r="E5" s="2" t="s">
        <v>11</v>
      </c>
      <c r="F5" s="2" t="s">
        <v>12</v>
      </c>
      <c r="G5" s="2" t="s">
        <v>25</v>
      </c>
    </row>
    <row r="6" customFormat="false" ht="39.75" hidden="false" customHeight="true" outlineLevel="0" collapsed="false">
      <c r="A6" s="2" t="s">
        <v>7</v>
      </c>
      <c r="B6" s="2" t="s">
        <v>26</v>
      </c>
      <c r="C6" s="2" t="s">
        <v>27</v>
      </c>
      <c r="D6" s="2" t="s">
        <v>10</v>
      </c>
      <c r="E6" s="2" t="s">
        <v>11</v>
      </c>
      <c r="F6" s="2" t="s">
        <v>12</v>
      </c>
      <c r="G6" s="2" t="s">
        <v>28</v>
      </c>
    </row>
    <row r="7" customFormat="false" ht="39.75" hidden="false" customHeight="true" outlineLevel="0" collapsed="false">
      <c r="A7" s="2" t="s">
        <v>7</v>
      </c>
      <c r="B7" s="2" t="s">
        <v>29</v>
      </c>
      <c r="C7" s="2" t="s">
        <v>30</v>
      </c>
      <c r="D7" s="2" t="s">
        <v>16</v>
      </c>
      <c r="E7" s="2" t="s">
        <v>11</v>
      </c>
      <c r="F7" s="2" t="s">
        <v>12</v>
      </c>
      <c r="G7" s="2" t="s">
        <v>31</v>
      </c>
    </row>
    <row r="8" customFormat="false" ht="39.75" hidden="false" customHeight="true" outlineLevel="0" collapsed="false">
      <c r="A8" s="2" t="s">
        <v>32</v>
      </c>
      <c r="B8" s="2" t="s">
        <v>33</v>
      </c>
      <c r="C8" s="2" t="s">
        <v>34</v>
      </c>
      <c r="D8" s="2" t="s">
        <v>35</v>
      </c>
      <c r="E8" s="2" t="s">
        <v>11</v>
      </c>
      <c r="F8" s="2" t="s">
        <v>36</v>
      </c>
      <c r="G8" s="2" t="s">
        <v>37</v>
      </c>
    </row>
    <row r="9" customFormat="false" ht="39.75" hidden="false" customHeight="true" outlineLevel="0" collapsed="false">
      <c r="A9" s="2" t="s">
        <v>38</v>
      </c>
      <c r="B9" s="2" t="s">
        <v>39</v>
      </c>
      <c r="C9" s="2" t="s">
        <v>40</v>
      </c>
      <c r="D9" s="2" t="s">
        <v>16</v>
      </c>
      <c r="E9" s="2" t="s">
        <v>11</v>
      </c>
      <c r="F9" s="2" t="s">
        <v>12</v>
      </c>
      <c r="G9" s="2" t="s">
        <v>41</v>
      </c>
    </row>
    <row r="10" customFormat="false" ht="39.75" hidden="false" customHeight="true" outlineLevel="0" collapsed="false">
      <c r="A10" s="2" t="s">
        <v>38</v>
      </c>
      <c r="B10" s="2" t="s">
        <v>42</v>
      </c>
      <c r="C10" s="2" t="s">
        <v>43</v>
      </c>
      <c r="D10" s="2" t="s">
        <v>16</v>
      </c>
      <c r="E10" s="2" t="s">
        <v>11</v>
      </c>
      <c r="F10" s="2" t="s">
        <v>12</v>
      </c>
      <c r="G10" s="2" t="s">
        <v>44</v>
      </c>
    </row>
    <row r="11" customFormat="false" ht="39.75" hidden="false" customHeight="true" outlineLevel="0" collapsed="false">
      <c r="A11" s="2" t="s">
        <v>38</v>
      </c>
      <c r="B11" s="2" t="s">
        <v>45</v>
      </c>
      <c r="C11" s="2" t="s">
        <v>46</v>
      </c>
      <c r="D11" s="2" t="s">
        <v>16</v>
      </c>
      <c r="E11" s="2" t="s">
        <v>11</v>
      </c>
      <c r="F11" s="2" t="s">
        <v>12</v>
      </c>
      <c r="G11" s="2" t="s">
        <v>47</v>
      </c>
    </row>
    <row r="12" customFormat="false" ht="39.75" hidden="false" customHeight="true" outlineLevel="0" collapsed="false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54</v>
      </c>
    </row>
    <row r="13" customFormat="false" ht="39.75" hidden="false" customHeight="true" outlineLevel="0" collapsed="false">
      <c r="A13" s="2" t="s">
        <v>48</v>
      </c>
      <c r="B13" s="2" t="s">
        <v>55</v>
      </c>
      <c r="C13" s="2" t="s">
        <v>56</v>
      </c>
      <c r="D13" s="2" t="s">
        <v>57</v>
      </c>
      <c r="E13" s="2" t="s">
        <v>11</v>
      </c>
      <c r="F13" s="2" t="s">
        <v>58</v>
      </c>
      <c r="G13" s="2" t="s">
        <v>59</v>
      </c>
    </row>
    <row r="14" customFormat="false" ht="39.75" hidden="false" customHeight="true" outlineLevel="0" collapsed="false">
      <c r="A14" s="2" t="s">
        <v>60</v>
      </c>
      <c r="B14" s="2" t="s">
        <v>61</v>
      </c>
      <c r="C14" s="2" t="s">
        <v>62</v>
      </c>
      <c r="D14" s="2" t="s">
        <v>16</v>
      </c>
      <c r="E14" s="2" t="s">
        <v>11</v>
      </c>
      <c r="F14" s="2" t="s">
        <v>12</v>
      </c>
      <c r="G14" s="2" t="s">
        <v>63</v>
      </c>
    </row>
    <row r="15" customFormat="false" ht="39.75" hidden="false" customHeight="true" outlineLevel="0" collapsed="false">
      <c r="A15" s="2" t="s">
        <v>60</v>
      </c>
      <c r="B15" s="2" t="s">
        <v>64</v>
      </c>
      <c r="C15" s="2" t="s">
        <v>65</v>
      </c>
      <c r="D15" s="2" t="s">
        <v>16</v>
      </c>
      <c r="E15" s="2" t="s">
        <v>11</v>
      </c>
      <c r="F15" s="2" t="s">
        <v>12</v>
      </c>
      <c r="G15" s="2" t="s">
        <v>66</v>
      </c>
    </row>
    <row r="16" customFormat="false" ht="39.75" hidden="false" customHeight="true" outlineLevel="0" collapsed="false">
      <c r="A16" s="2" t="s">
        <v>60</v>
      </c>
      <c r="B16" s="2" t="s">
        <v>67</v>
      </c>
      <c r="C16" s="2" t="s">
        <v>68</v>
      </c>
      <c r="D16" s="2" t="s">
        <v>10</v>
      </c>
      <c r="E16" s="2" t="s">
        <v>11</v>
      </c>
      <c r="F16" s="2" t="s">
        <v>12</v>
      </c>
      <c r="G16" s="2" t="s">
        <v>69</v>
      </c>
    </row>
    <row r="17" customFormat="false" ht="39.75" hidden="false" customHeight="true" outlineLevel="0" collapsed="false">
      <c r="A17" s="2" t="s">
        <v>60</v>
      </c>
      <c r="B17" s="2" t="s">
        <v>70</v>
      </c>
      <c r="C17" s="2" t="s">
        <v>71</v>
      </c>
      <c r="D17" s="2" t="s">
        <v>72</v>
      </c>
      <c r="E17" s="2" t="s">
        <v>21</v>
      </c>
      <c r="F17" s="2" t="s">
        <v>12</v>
      </c>
      <c r="G17" s="2" t="s">
        <v>73</v>
      </c>
    </row>
    <row r="18" customFormat="false" ht="39.75" hidden="false" customHeight="true" outlineLevel="0" collapsed="false">
      <c r="A18" s="2" t="s">
        <v>60</v>
      </c>
      <c r="B18" s="2" t="s">
        <v>74</v>
      </c>
      <c r="C18" s="2" t="s">
        <v>75</v>
      </c>
      <c r="D18" s="2" t="s">
        <v>76</v>
      </c>
      <c r="E18" s="2" t="s">
        <v>76</v>
      </c>
      <c r="F18" s="2" t="s">
        <v>76</v>
      </c>
      <c r="G18" s="2" t="s">
        <v>77</v>
      </c>
    </row>
    <row r="19" customFormat="false" ht="39.75" hidden="false" customHeight="true" outlineLevel="0" collapsed="false">
      <c r="A19" s="2" t="s">
        <v>78</v>
      </c>
      <c r="B19" s="2" t="s">
        <v>79</v>
      </c>
      <c r="C19" s="2" t="s">
        <v>80</v>
      </c>
      <c r="D19" s="2" t="s">
        <v>16</v>
      </c>
      <c r="E19" s="2" t="s">
        <v>11</v>
      </c>
      <c r="F19" s="2" t="s">
        <v>12</v>
      </c>
      <c r="G19" s="2" t="s">
        <v>81</v>
      </c>
    </row>
    <row r="20" customFormat="false" ht="39.75" hidden="false" customHeight="true" outlineLevel="0" collapsed="false">
      <c r="A20" s="2" t="s">
        <v>78</v>
      </c>
      <c r="B20" s="2" t="s">
        <v>82</v>
      </c>
      <c r="C20" s="2" t="s">
        <v>83</v>
      </c>
      <c r="D20" s="2" t="s">
        <v>16</v>
      </c>
      <c r="E20" s="2" t="s">
        <v>11</v>
      </c>
      <c r="F20" s="2" t="s">
        <v>12</v>
      </c>
      <c r="G20" s="2" t="s">
        <v>84</v>
      </c>
    </row>
    <row r="21" customFormat="false" ht="39.75" hidden="false" customHeight="true" outlineLevel="0" collapsed="false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11</v>
      </c>
      <c r="F21" s="2" t="s">
        <v>89</v>
      </c>
      <c r="G21" s="2" t="s">
        <v>90</v>
      </c>
    </row>
    <row r="22" customFormat="false" ht="39.75" hidden="false" customHeight="true" outlineLevel="0" collapsed="false">
      <c r="A22" s="2" t="s">
        <v>85</v>
      </c>
      <c r="B22" s="2" t="s">
        <v>91</v>
      </c>
      <c r="C22" s="2" t="s">
        <v>92</v>
      </c>
      <c r="D22" s="2" t="s">
        <v>93</v>
      </c>
      <c r="E22" s="2" t="s">
        <v>11</v>
      </c>
      <c r="F22" s="2" t="s">
        <v>12</v>
      </c>
      <c r="G22" s="2" t="s">
        <v>94</v>
      </c>
    </row>
    <row r="23" customFormat="false" ht="39.75" hidden="false" customHeight="true" outlineLevel="0" collapsed="false">
      <c r="A23" s="2" t="s">
        <v>85</v>
      </c>
      <c r="B23" s="2" t="s">
        <v>95</v>
      </c>
      <c r="C23" s="2" t="s">
        <v>96</v>
      </c>
      <c r="D23" s="2" t="s">
        <v>16</v>
      </c>
      <c r="E23" s="2" t="s">
        <v>11</v>
      </c>
      <c r="F23" s="2" t="s">
        <v>12</v>
      </c>
      <c r="G23" s="2" t="s">
        <v>97</v>
      </c>
    </row>
    <row r="24" customFormat="false" ht="39.75" hidden="false" customHeight="true" outlineLevel="0" collapsed="false">
      <c r="A24" s="2" t="s">
        <v>85</v>
      </c>
      <c r="B24" s="2" t="s">
        <v>98</v>
      </c>
      <c r="C24" s="2" t="s">
        <v>99</v>
      </c>
      <c r="D24" s="2" t="s">
        <v>100</v>
      </c>
      <c r="E24" s="2" t="s">
        <v>11</v>
      </c>
      <c r="F24" s="2" t="s">
        <v>12</v>
      </c>
      <c r="G24" s="2" t="s">
        <v>101</v>
      </c>
    </row>
    <row r="25" customFormat="false" ht="39.75" hidden="false" customHeight="true" outlineLevel="0" collapsed="false">
      <c r="A25" s="2" t="s">
        <v>85</v>
      </c>
      <c r="B25" s="2" t="s">
        <v>102</v>
      </c>
      <c r="C25" s="2" t="s">
        <v>103</v>
      </c>
      <c r="D25" s="2" t="s">
        <v>104</v>
      </c>
      <c r="E25" s="2" t="s">
        <v>11</v>
      </c>
      <c r="F25" s="2" t="s">
        <v>12</v>
      </c>
      <c r="G25" s="2" t="s">
        <v>105</v>
      </c>
    </row>
    <row r="26" customFormat="false" ht="39.75" hidden="false" customHeight="true" outlineLevel="0" collapsed="false">
      <c r="A26" s="2" t="s">
        <v>85</v>
      </c>
      <c r="B26" s="2" t="s">
        <v>106</v>
      </c>
      <c r="C26" s="2" t="s">
        <v>107</v>
      </c>
      <c r="D26" s="2" t="s">
        <v>108</v>
      </c>
      <c r="E26" s="2" t="s">
        <v>11</v>
      </c>
      <c r="F26" s="2" t="s">
        <v>12</v>
      </c>
      <c r="G26" s="2" t="s">
        <v>109</v>
      </c>
    </row>
    <row r="27" customFormat="false" ht="39.75" hidden="false" customHeight="true" outlineLevel="0" collapsed="false">
      <c r="A27" s="2" t="s">
        <v>85</v>
      </c>
      <c r="B27" s="2" t="s">
        <v>110</v>
      </c>
      <c r="C27" s="2" t="s">
        <v>111</v>
      </c>
      <c r="D27" s="2" t="s">
        <v>16</v>
      </c>
      <c r="E27" s="2" t="s">
        <v>11</v>
      </c>
      <c r="F27" s="2" t="s">
        <v>12</v>
      </c>
      <c r="G27" s="2" t="s">
        <v>112</v>
      </c>
    </row>
    <row r="28" customFormat="false" ht="39.75" hidden="false" customHeight="true" outlineLevel="0" collapsed="false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</v>
      </c>
      <c r="F28" s="2" t="s">
        <v>12</v>
      </c>
      <c r="G28" s="2" t="s">
        <v>117</v>
      </c>
    </row>
    <row r="29" customFormat="false" ht="39.75" hidden="false" customHeight="true" outlineLevel="0" collapsed="false">
      <c r="A29" s="2" t="s">
        <v>113</v>
      </c>
      <c r="B29" s="2" t="s">
        <v>118</v>
      </c>
      <c r="C29" s="2" t="s">
        <v>119</v>
      </c>
      <c r="D29" s="2" t="s">
        <v>16</v>
      </c>
      <c r="E29" s="2" t="s">
        <v>11</v>
      </c>
      <c r="F29" s="2" t="s">
        <v>12</v>
      </c>
      <c r="G29" s="2" t="s">
        <v>120</v>
      </c>
    </row>
    <row r="30" customFormat="false" ht="39.75" hidden="false" customHeight="true" outlineLevel="0" collapsed="false">
      <c r="A30" s="2" t="s">
        <v>113</v>
      </c>
      <c r="B30" s="2" t="s">
        <v>121</v>
      </c>
      <c r="C30" s="2" t="s">
        <v>122</v>
      </c>
      <c r="D30" s="2" t="s">
        <v>16</v>
      </c>
      <c r="E30" s="2" t="s">
        <v>11</v>
      </c>
      <c r="F30" s="2" t="s">
        <v>12</v>
      </c>
      <c r="G30" s="2" t="s">
        <v>123</v>
      </c>
    </row>
    <row r="31" customFormat="false" ht="39.75" hidden="false" customHeight="true" outlineLevel="0" collapsed="false">
      <c r="A31" s="2" t="s">
        <v>113</v>
      </c>
      <c r="B31" s="2" t="s">
        <v>124</v>
      </c>
      <c r="C31" s="2" t="s">
        <v>125</v>
      </c>
      <c r="D31" s="2" t="s">
        <v>16</v>
      </c>
      <c r="E31" s="2" t="s">
        <v>11</v>
      </c>
      <c r="F31" s="2" t="s">
        <v>12</v>
      </c>
      <c r="G31" s="2" t="s">
        <v>126</v>
      </c>
    </row>
    <row r="32" customFormat="false" ht="39.75" hidden="false" customHeight="true" outlineLevel="0" collapsed="false">
      <c r="A32" s="2" t="s">
        <v>113</v>
      </c>
      <c r="B32" s="2" t="s">
        <v>127</v>
      </c>
      <c r="C32" s="2" t="s">
        <v>128</v>
      </c>
      <c r="D32" s="2" t="s">
        <v>16</v>
      </c>
      <c r="E32" s="2" t="s">
        <v>11</v>
      </c>
      <c r="F32" s="2" t="s">
        <v>12</v>
      </c>
      <c r="G32" s="2" t="s">
        <v>129</v>
      </c>
    </row>
    <row r="33" customFormat="false" ht="39.75" hidden="false" customHeight="true" outlineLevel="0" collapsed="false">
      <c r="A33" s="2" t="s">
        <v>113</v>
      </c>
      <c r="B33" s="2" t="s">
        <v>130</v>
      </c>
      <c r="C33" s="2" t="s">
        <v>131</v>
      </c>
      <c r="D33" s="2" t="s">
        <v>16</v>
      </c>
      <c r="E33" s="2" t="s">
        <v>11</v>
      </c>
      <c r="F33" s="2" t="s">
        <v>12</v>
      </c>
      <c r="G33" s="2" t="s">
        <v>132</v>
      </c>
    </row>
    <row r="34" customFormat="false" ht="39.75" hidden="false" customHeight="true" outlineLevel="0" collapsed="false">
      <c r="A34" s="2" t="s">
        <v>113</v>
      </c>
      <c r="B34" s="2" t="s">
        <v>133</v>
      </c>
      <c r="C34" s="2" t="s">
        <v>134</v>
      </c>
      <c r="D34" s="2" t="s">
        <v>135</v>
      </c>
      <c r="E34" s="2" t="s">
        <v>11</v>
      </c>
      <c r="F34" s="2" t="s">
        <v>12</v>
      </c>
      <c r="G34" s="2" t="s">
        <v>136</v>
      </c>
    </row>
    <row r="35" customFormat="false" ht="39.75" hidden="false" customHeight="true" outlineLevel="0" collapsed="false">
      <c r="A35" s="2" t="s">
        <v>137</v>
      </c>
      <c r="B35" s="2" t="s">
        <v>138</v>
      </c>
      <c r="C35" s="2" t="s">
        <v>139</v>
      </c>
      <c r="D35" s="2" t="s">
        <v>16</v>
      </c>
      <c r="E35" s="2" t="s">
        <v>11</v>
      </c>
      <c r="F35" s="2" t="s">
        <v>12</v>
      </c>
      <c r="G35" s="2" t="s">
        <v>140</v>
      </c>
    </row>
    <row r="36" customFormat="false" ht="39.75" hidden="false" customHeight="true" outlineLevel="0" collapsed="false">
      <c r="A36" s="2" t="s">
        <v>137</v>
      </c>
      <c r="B36" s="2" t="s">
        <v>141</v>
      </c>
      <c r="C36" s="2" t="s">
        <v>142</v>
      </c>
      <c r="D36" s="2" t="s">
        <v>16</v>
      </c>
      <c r="E36" s="2" t="s">
        <v>11</v>
      </c>
      <c r="F36" s="2" t="s">
        <v>12</v>
      </c>
      <c r="G36" s="2" t="s">
        <v>143</v>
      </c>
    </row>
    <row r="37" customFormat="false" ht="39.75" hidden="false" customHeight="true" outlineLevel="0" collapsed="false">
      <c r="A37" s="2" t="s">
        <v>137</v>
      </c>
      <c r="B37" s="2" t="s">
        <v>144</v>
      </c>
      <c r="C37" s="2" t="s">
        <v>145</v>
      </c>
      <c r="D37" s="2" t="s">
        <v>16</v>
      </c>
      <c r="E37" s="2" t="s">
        <v>11</v>
      </c>
      <c r="F37" s="2" t="s">
        <v>12</v>
      </c>
      <c r="G37" s="2" t="s">
        <v>146</v>
      </c>
    </row>
    <row r="38" customFormat="false" ht="39.75" hidden="false" customHeight="true" outlineLevel="0" collapsed="false">
      <c r="A38" s="2" t="s">
        <v>137</v>
      </c>
      <c r="B38" s="2" t="s">
        <v>147</v>
      </c>
      <c r="C38" s="2" t="s">
        <v>148</v>
      </c>
      <c r="D38" s="2" t="s">
        <v>149</v>
      </c>
      <c r="E38" s="2" t="s">
        <v>11</v>
      </c>
      <c r="F38" s="2" t="s">
        <v>12</v>
      </c>
      <c r="G38" s="2" t="s">
        <v>150</v>
      </c>
    </row>
    <row r="39" customFormat="false" ht="39.75" hidden="false" customHeight="true" outlineLevel="0" collapsed="false">
      <c r="A39" s="2" t="s">
        <v>137</v>
      </c>
      <c r="B39" s="2" t="s">
        <v>151</v>
      </c>
      <c r="C39" s="2" t="s">
        <v>152</v>
      </c>
      <c r="D39" s="2" t="s">
        <v>153</v>
      </c>
      <c r="E39" s="2" t="s">
        <v>76</v>
      </c>
      <c r="F39" s="2" t="s">
        <v>76</v>
      </c>
      <c r="G39" s="2" t="s">
        <v>154</v>
      </c>
    </row>
    <row r="40" customFormat="false" ht="39.75" hidden="false" customHeight="true" outlineLevel="0" collapsed="false">
      <c r="A40" s="2" t="s">
        <v>137</v>
      </c>
      <c r="B40" s="2" t="s">
        <v>155</v>
      </c>
      <c r="C40" s="2" t="s">
        <v>156</v>
      </c>
      <c r="D40" s="2" t="s">
        <v>16</v>
      </c>
      <c r="E40" s="2" t="s">
        <v>11</v>
      </c>
      <c r="F40" s="2" t="s">
        <v>12</v>
      </c>
      <c r="G40" s="2" t="s">
        <v>157</v>
      </c>
    </row>
    <row r="41" customFormat="false" ht="39.75" hidden="false" customHeight="true" outlineLevel="0" collapsed="false">
      <c r="A41" s="2" t="s">
        <v>137</v>
      </c>
      <c r="B41" s="2" t="s">
        <v>158</v>
      </c>
      <c r="C41" s="2" t="s">
        <v>159</v>
      </c>
      <c r="D41" s="2" t="s">
        <v>160</v>
      </c>
      <c r="E41" s="2" t="s">
        <v>11</v>
      </c>
      <c r="F41" s="2" t="s">
        <v>12</v>
      </c>
      <c r="G41" s="2" t="s">
        <v>161</v>
      </c>
    </row>
    <row r="42" customFormat="false" ht="39.75" hidden="false" customHeight="true" outlineLevel="0" collapsed="false">
      <c r="A42" s="2" t="s">
        <v>162</v>
      </c>
      <c r="B42" s="2" t="s">
        <v>163</v>
      </c>
      <c r="C42" s="2" t="s">
        <v>164</v>
      </c>
      <c r="D42" s="2" t="s">
        <v>10</v>
      </c>
      <c r="E42" s="2" t="s">
        <v>11</v>
      </c>
      <c r="F42" s="2" t="s">
        <v>12</v>
      </c>
      <c r="G42" s="2" t="s">
        <v>165</v>
      </c>
    </row>
    <row r="43" customFormat="false" ht="39.75" hidden="false" customHeight="true" outlineLevel="0" collapsed="false">
      <c r="A43" s="2" t="s">
        <v>162</v>
      </c>
      <c r="B43" s="2" t="s">
        <v>166</v>
      </c>
      <c r="C43" s="2" t="s">
        <v>167</v>
      </c>
      <c r="D43" s="2" t="s">
        <v>168</v>
      </c>
      <c r="E43" s="2" t="s">
        <v>12</v>
      </c>
      <c r="F43" s="2" t="s">
        <v>169</v>
      </c>
      <c r="G43" s="2" t="s">
        <v>170</v>
      </c>
    </row>
    <row r="44" customFormat="false" ht="39.75" hidden="false" customHeight="true" outlineLevel="0" collapsed="false">
      <c r="A44" s="2" t="s">
        <v>162</v>
      </c>
      <c r="B44" s="2" t="s">
        <v>171</v>
      </c>
      <c r="C44" s="2" t="s">
        <v>172</v>
      </c>
      <c r="D44" s="2" t="s">
        <v>173</v>
      </c>
      <c r="E44" s="2" t="s">
        <v>12</v>
      </c>
      <c r="F44" s="2" t="s">
        <v>174</v>
      </c>
      <c r="G44" s="2" t="s">
        <v>175</v>
      </c>
    </row>
    <row r="45" customFormat="false" ht="39.75" hidden="false" customHeight="true" outlineLevel="0" collapsed="false">
      <c r="A45" s="2" t="s">
        <v>162</v>
      </c>
      <c r="B45" s="2" t="s">
        <v>176</v>
      </c>
      <c r="C45" s="2" t="s">
        <v>177</v>
      </c>
      <c r="D45" s="2" t="s">
        <v>178</v>
      </c>
      <c r="E45" s="2" t="s">
        <v>11</v>
      </c>
      <c r="F45" s="2" t="s">
        <v>12</v>
      </c>
      <c r="G45" s="2" t="s">
        <v>179</v>
      </c>
    </row>
    <row r="46" customFormat="false" ht="39.75" hidden="false" customHeight="true" outlineLevel="0" collapsed="false">
      <c r="A46" s="2" t="s">
        <v>180</v>
      </c>
      <c r="B46" s="2" t="s">
        <v>181</v>
      </c>
      <c r="C46" s="2"/>
      <c r="D46" s="2"/>
      <c r="E46" s="2"/>
      <c r="F46" s="2"/>
      <c r="G46" s="2"/>
    </row>
    <row r="47" customFormat="false" ht="39.75" hidden="false" customHeight="true" outlineLevel="0" collapsed="false">
      <c r="A47" s="2" t="s">
        <v>180</v>
      </c>
      <c r="B47" s="2" t="s">
        <v>182</v>
      </c>
      <c r="C47" s="2"/>
      <c r="D47" s="2"/>
      <c r="E47" s="2"/>
      <c r="F47" s="2"/>
      <c r="G47" s="2"/>
    </row>
    <row r="48" customFormat="false" ht="39.75" hidden="false" customHeight="true" outlineLevel="0" collapsed="false">
      <c r="A48" s="2" t="s">
        <v>180</v>
      </c>
      <c r="B48" s="2" t="s">
        <v>183</v>
      </c>
      <c r="C48" s="2"/>
      <c r="D48" s="2"/>
      <c r="E48" s="2"/>
      <c r="F48" s="2"/>
      <c r="G48" s="2"/>
    </row>
    <row r="49" customFormat="false" ht="39.75" hidden="false" customHeight="true" outlineLevel="0" collapsed="false">
      <c r="A49" s="2" t="s">
        <v>180</v>
      </c>
      <c r="B49" s="2" t="s">
        <v>184</v>
      </c>
      <c r="C49" s="2"/>
      <c r="D49" s="2"/>
      <c r="E49" s="2"/>
      <c r="F49" s="2"/>
      <c r="G49" s="2"/>
    </row>
    <row r="50" customFormat="false" ht="39.75" hidden="false" customHeight="true" outlineLevel="0" collapsed="false">
      <c r="A50" s="2" t="s">
        <v>180</v>
      </c>
      <c r="B50" s="2" t="s">
        <v>185</v>
      </c>
      <c r="C50" s="2"/>
      <c r="D50" s="2"/>
      <c r="E50" s="2"/>
      <c r="F50" s="2"/>
      <c r="G50" s="2"/>
    </row>
    <row r="51" customFormat="false" ht="39.75" hidden="false" customHeight="true" outlineLevel="0" collapsed="false">
      <c r="A51" s="2" t="s">
        <v>180</v>
      </c>
      <c r="B51" s="2" t="s">
        <v>186</v>
      </c>
      <c r="C51" s="2"/>
      <c r="D51" s="2"/>
      <c r="E51" s="2"/>
      <c r="F51" s="2"/>
      <c r="G51" s="2"/>
    </row>
    <row r="52" customFormat="false" ht="39.75" hidden="false" customHeight="true" outlineLevel="0" collapsed="false">
      <c r="A52" s="2" t="s">
        <v>187</v>
      </c>
      <c r="B52" s="2" t="s">
        <v>188</v>
      </c>
      <c r="C52" s="2" t="s">
        <v>189</v>
      </c>
      <c r="D52" s="2" t="s">
        <v>190</v>
      </c>
      <c r="E52" s="2" t="s">
        <v>12</v>
      </c>
      <c r="F52" s="2" t="s">
        <v>191</v>
      </c>
      <c r="G52" s="2" t="s">
        <v>192</v>
      </c>
    </row>
    <row r="53" customFormat="false" ht="39.75" hidden="false" customHeight="true" outlineLevel="0" collapsed="false">
      <c r="A53" s="2" t="s">
        <v>187</v>
      </c>
      <c r="B53" s="2" t="s">
        <v>193</v>
      </c>
      <c r="C53" s="2" t="s">
        <v>194</v>
      </c>
      <c r="D53" s="2" t="s">
        <v>10</v>
      </c>
      <c r="E53" s="2" t="s">
        <v>11</v>
      </c>
      <c r="F53" s="2" t="s">
        <v>12</v>
      </c>
      <c r="G53" s="2" t="s">
        <v>195</v>
      </c>
    </row>
    <row r="54" customFormat="false" ht="39.75" hidden="false" customHeight="true" outlineLevel="0" collapsed="false">
      <c r="A54" s="2" t="s">
        <v>187</v>
      </c>
      <c r="B54" s="2" t="s">
        <v>196</v>
      </c>
      <c r="C54" s="2" t="s">
        <v>197</v>
      </c>
      <c r="D54" s="2" t="s">
        <v>10</v>
      </c>
      <c r="E54" s="2" t="s">
        <v>11</v>
      </c>
      <c r="F54" s="2" t="s">
        <v>12</v>
      </c>
      <c r="G54" s="2" t="s">
        <v>198</v>
      </c>
    </row>
    <row r="55" customFormat="false" ht="39.75" hidden="false" customHeight="true" outlineLevel="0" collapsed="false">
      <c r="A55" s="2" t="s">
        <v>187</v>
      </c>
      <c r="B55" s="2" t="s">
        <v>199</v>
      </c>
      <c r="C55" s="2" t="s">
        <v>200</v>
      </c>
      <c r="D55" s="2" t="s">
        <v>16</v>
      </c>
      <c r="E55" s="2" t="s">
        <v>11</v>
      </c>
      <c r="F55" s="2" t="s">
        <v>12</v>
      </c>
      <c r="G55" s="2" t="s">
        <v>201</v>
      </c>
    </row>
    <row r="56" customFormat="false" ht="39.75" hidden="false" customHeight="true" outlineLevel="0" collapsed="false">
      <c r="A56" s="2" t="s">
        <v>187</v>
      </c>
      <c r="B56" s="2" t="s">
        <v>202</v>
      </c>
      <c r="C56" s="2" t="s">
        <v>203</v>
      </c>
      <c r="D56" s="2" t="s">
        <v>204</v>
      </c>
      <c r="E56" s="2" t="s">
        <v>11</v>
      </c>
      <c r="F56" s="2" t="s">
        <v>12</v>
      </c>
      <c r="G56" s="2" t="s">
        <v>205</v>
      </c>
    </row>
    <row r="57" customFormat="false" ht="39.75" hidden="false" customHeight="true" outlineLevel="0" collapsed="false">
      <c r="A57" s="2" t="s">
        <v>187</v>
      </c>
      <c r="B57" s="2" t="s">
        <v>206</v>
      </c>
      <c r="C57" s="2" t="s">
        <v>207</v>
      </c>
      <c r="D57" s="2" t="s">
        <v>208</v>
      </c>
      <c r="E57" s="2" t="s">
        <v>11</v>
      </c>
      <c r="F57" s="2" t="s">
        <v>209</v>
      </c>
      <c r="G57" s="2" t="s">
        <v>210</v>
      </c>
    </row>
    <row r="58" customFormat="false" ht="39.75" hidden="false" customHeight="true" outlineLevel="0" collapsed="false">
      <c r="A58" s="2" t="s">
        <v>187</v>
      </c>
      <c r="B58" s="2" t="s">
        <v>211</v>
      </c>
      <c r="C58" s="2" t="s">
        <v>212</v>
      </c>
      <c r="D58" s="2" t="s">
        <v>208</v>
      </c>
      <c r="E58" s="2" t="s">
        <v>11</v>
      </c>
      <c r="F58" s="2" t="s">
        <v>209</v>
      </c>
      <c r="G58" s="2" t="s">
        <v>213</v>
      </c>
    </row>
    <row r="59" customFormat="false" ht="39.75" hidden="false" customHeight="true" outlineLevel="0" collapsed="false">
      <c r="A59" s="2" t="s">
        <v>187</v>
      </c>
      <c r="B59" s="2" t="s">
        <v>214</v>
      </c>
      <c r="C59" s="2" t="s">
        <v>215</v>
      </c>
      <c r="D59" s="2" t="s">
        <v>208</v>
      </c>
      <c r="E59" s="2" t="s">
        <v>11</v>
      </c>
      <c r="F59" s="2" t="s">
        <v>209</v>
      </c>
      <c r="G59" s="2" t="s">
        <v>216</v>
      </c>
    </row>
    <row r="60" customFormat="false" ht="39.75" hidden="false" customHeight="true" outlineLevel="0" collapsed="false">
      <c r="A60" s="2" t="s">
        <v>187</v>
      </c>
      <c r="B60" s="2" t="s">
        <v>217</v>
      </c>
      <c r="C60" s="2" t="s">
        <v>218</v>
      </c>
      <c r="D60" s="2" t="s">
        <v>219</v>
      </c>
      <c r="E60" s="2" t="s">
        <v>11</v>
      </c>
      <c r="F60" s="2" t="s">
        <v>220</v>
      </c>
      <c r="G60" s="2" t="s">
        <v>221</v>
      </c>
    </row>
    <row r="61" customFormat="false" ht="39.75" hidden="false" customHeight="true" outlineLevel="0" collapsed="false">
      <c r="A61" s="2" t="s">
        <v>222</v>
      </c>
      <c r="B61" s="2" t="s">
        <v>223</v>
      </c>
      <c r="C61" s="2" t="s">
        <v>224</v>
      </c>
      <c r="D61" s="2" t="s">
        <v>225</v>
      </c>
      <c r="E61" s="2" t="s">
        <v>76</v>
      </c>
      <c r="F61" s="2" t="s">
        <v>76</v>
      </c>
      <c r="G61" s="2" t="s">
        <v>226</v>
      </c>
    </row>
    <row r="62" customFormat="false" ht="39.75" hidden="false" customHeight="true" outlineLevel="0" collapsed="false">
      <c r="A62" s="2" t="s">
        <v>222</v>
      </c>
      <c r="B62" s="2" t="s">
        <v>227</v>
      </c>
      <c r="C62" s="2" t="s">
        <v>228</v>
      </c>
      <c r="D62" s="2" t="s">
        <v>225</v>
      </c>
      <c r="E62" s="2" t="s">
        <v>76</v>
      </c>
      <c r="F62" s="2" t="s">
        <v>76</v>
      </c>
      <c r="G62" s="2" t="s">
        <v>229</v>
      </c>
    </row>
    <row r="63" customFormat="false" ht="39.75" hidden="false" customHeight="true" outlineLevel="0" collapsed="false">
      <c r="A63" s="2" t="s">
        <v>222</v>
      </c>
      <c r="B63" s="2" t="s">
        <v>230</v>
      </c>
      <c r="C63" s="2" t="s">
        <v>228</v>
      </c>
      <c r="D63" s="2" t="s">
        <v>225</v>
      </c>
      <c r="E63" s="2" t="s">
        <v>76</v>
      </c>
      <c r="F63" s="2" t="s">
        <v>76</v>
      </c>
      <c r="G63" s="2" t="s">
        <v>231</v>
      </c>
    </row>
    <row r="64" customFormat="false" ht="39.75" hidden="false" customHeight="true" outlineLevel="0" collapsed="false">
      <c r="A64" s="2" t="s">
        <v>222</v>
      </c>
      <c r="B64" s="2" t="s">
        <v>232</v>
      </c>
      <c r="C64" s="2" t="s">
        <v>228</v>
      </c>
      <c r="D64" s="2" t="s">
        <v>225</v>
      </c>
      <c r="E64" s="2" t="s">
        <v>76</v>
      </c>
      <c r="F64" s="2" t="s">
        <v>76</v>
      </c>
      <c r="G64" s="2" t="s">
        <v>233</v>
      </c>
    </row>
    <row r="65" customFormat="false" ht="39.75" hidden="false" customHeight="true" outlineLevel="0" collapsed="false">
      <c r="A65" s="2" t="s">
        <v>222</v>
      </c>
      <c r="B65" s="2" t="s">
        <v>234</v>
      </c>
      <c r="C65" s="2" t="s">
        <v>228</v>
      </c>
      <c r="D65" s="2" t="s">
        <v>225</v>
      </c>
      <c r="E65" s="2" t="s">
        <v>76</v>
      </c>
      <c r="F65" s="2" t="s">
        <v>76</v>
      </c>
      <c r="G65" s="2" t="s">
        <v>235</v>
      </c>
    </row>
    <row r="66" customFormat="false" ht="39.75" hidden="false" customHeight="true" outlineLevel="0" collapsed="false">
      <c r="A66" s="2" t="s">
        <v>222</v>
      </c>
      <c r="B66" s="2" t="s">
        <v>236</v>
      </c>
      <c r="C66" s="2" t="s">
        <v>228</v>
      </c>
      <c r="D66" s="2" t="s">
        <v>225</v>
      </c>
      <c r="E66" s="2" t="s">
        <v>76</v>
      </c>
      <c r="F66" s="2" t="s">
        <v>76</v>
      </c>
      <c r="G66" s="2" t="s">
        <v>237</v>
      </c>
    </row>
    <row r="67" customFormat="false" ht="39.75" hidden="false" customHeight="true" outlineLevel="0" collapsed="false">
      <c r="A67" s="2" t="s">
        <v>222</v>
      </c>
      <c r="B67" s="2" t="s">
        <v>238</v>
      </c>
      <c r="C67" s="2" t="s">
        <v>228</v>
      </c>
      <c r="D67" s="2" t="s">
        <v>225</v>
      </c>
      <c r="E67" s="2" t="s">
        <v>76</v>
      </c>
      <c r="F67" s="2" t="s">
        <v>76</v>
      </c>
      <c r="G67" s="2" t="s">
        <v>239</v>
      </c>
    </row>
    <row r="68" customFormat="false" ht="39.75" hidden="false" customHeight="true" outlineLevel="0" collapsed="false">
      <c r="A68" s="2" t="s">
        <v>222</v>
      </c>
      <c r="B68" s="2" t="s">
        <v>240</v>
      </c>
      <c r="C68" s="2" t="s">
        <v>228</v>
      </c>
      <c r="D68" s="2" t="s">
        <v>225</v>
      </c>
      <c r="E68" s="2" t="s">
        <v>76</v>
      </c>
      <c r="F68" s="2" t="s">
        <v>76</v>
      </c>
      <c r="G68" s="2" t="s">
        <v>241</v>
      </c>
    </row>
    <row r="69" customFormat="false" ht="39.75" hidden="false" customHeight="true" outlineLevel="0" collapsed="false">
      <c r="A69" s="2" t="s">
        <v>222</v>
      </c>
      <c r="B69" s="2" t="s">
        <v>242</v>
      </c>
      <c r="C69" s="2" t="s">
        <v>228</v>
      </c>
      <c r="D69" s="2" t="s">
        <v>225</v>
      </c>
      <c r="E69" s="2" t="s">
        <v>76</v>
      </c>
      <c r="F69" s="2" t="s">
        <v>76</v>
      </c>
      <c r="G69" s="2" t="s">
        <v>243</v>
      </c>
    </row>
    <row r="70" customFormat="false" ht="39.75" hidden="false" customHeight="true" outlineLevel="0" collapsed="false">
      <c r="A70" s="2" t="s">
        <v>244</v>
      </c>
      <c r="B70" s="2" t="s">
        <v>245</v>
      </c>
      <c r="C70" s="2" t="s">
        <v>246</v>
      </c>
      <c r="D70" s="2" t="s">
        <v>247</v>
      </c>
      <c r="E70" s="2" t="s">
        <v>11</v>
      </c>
      <c r="F70" s="2" t="s">
        <v>12</v>
      </c>
      <c r="G70" s="2" t="s">
        <v>248</v>
      </c>
    </row>
    <row r="71" customFormat="false" ht="39.75" hidden="false" customHeight="true" outlineLevel="0" collapsed="false">
      <c r="A71" s="2" t="s">
        <v>244</v>
      </c>
      <c r="B71" s="2" t="s">
        <v>249</v>
      </c>
      <c r="C71" s="2" t="s">
        <v>250</v>
      </c>
      <c r="D71" s="2" t="s">
        <v>251</v>
      </c>
      <c r="E71" s="2" t="s">
        <v>11</v>
      </c>
      <c r="F71" s="2" t="s">
        <v>12</v>
      </c>
      <c r="G71" s="2" t="s">
        <v>252</v>
      </c>
    </row>
    <row r="72" customFormat="false" ht="15" hidden="false" customHeight="true" outlineLevel="0" collapsed="false">
      <c r="A72" s="2" t="s">
        <v>253</v>
      </c>
      <c r="B72" s="2" t="s">
        <v>254</v>
      </c>
      <c r="C72" s="2" t="s">
        <v>255</v>
      </c>
      <c r="D72" s="2" t="s">
        <v>16</v>
      </c>
      <c r="E72" s="2" t="s">
        <v>11</v>
      </c>
      <c r="F72" s="2" t="s">
        <v>12</v>
      </c>
      <c r="G72" s="2" t="s">
        <v>256</v>
      </c>
    </row>
    <row r="73" customFormat="false" ht="15" hidden="false" customHeight="true" outlineLevel="0" collapsed="false">
      <c r="A73" s="2" t="s">
        <v>253</v>
      </c>
      <c r="B73" s="2" t="s">
        <v>257</v>
      </c>
      <c r="C73" s="2" t="s">
        <v>258</v>
      </c>
      <c r="D73" s="2" t="s">
        <v>225</v>
      </c>
      <c r="E73" s="2" t="s">
        <v>76</v>
      </c>
      <c r="F73" s="2" t="s">
        <v>76</v>
      </c>
      <c r="G73" s="2" t="s">
        <v>259</v>
      </c>
    </row>
    <row r="74" customFormat="false" ht="15" hidden="false" customHeight="true" outlineLevel="0" collapsed="false">
      <c r="A74" s="2" t="s">
        <v>253</v>
      </c>
      <c r="B74" s="2" t="s">
        <v>67</v>
      </c>
      <c r="C74" s="2" t="s">
        <v>260</v>
      </c>
      <c r="D74" s="2" t="s">
        <v>10</v>
      </c>
      <c r="E74" s="2" t="s">
        <v>11</v>
      </c>
      <c r="F74" s="2" t="s">
        <v>12</v>
      </c>
      <c r="G74" s="2" t="s">
        <v>261</v>
      </c>
    </row>
    <row r="75" customFormat="false" ht="15" hidden="false" customHeight="false" outlineLevel="0" collapsed="false">
      <c r="A75" s="3" t="s">
        <v>262</v>
      </c>
      <c r="B75" s="3" t="s">
        <v>263</v>
      </c>
      <c r="C75" s="3" t="s">
        <v>264</v>
      </c>
      <c r="D75" s="3" t="s">
        <v>16</v>
      </c>
      <c r="E75" s="3" t="s">
        <v>11</v>
      </c>
      <c r="F75" s="3" t="s">
        <v>12</v>
      </c>
      <c r="G75" s="3" t="s">
        <v>265</v>
      </c>
    </row>
    <row r="76" customFormat="false" ht="15" hidden="false" customHeight="false" outlineLevel="0" collapsed="false">
      <c r="A76" s="3" t="s">
        <v>262</v>
      </c>
      <c r="B76" s="3" t="s">
        <v>266</v>
      </c>
      <c r="C76" s="3" t="s">
        <v>267</v>
      </c>
      <c r="D76" s="3" t="s">
        <v>16</v>
      </c>
      <c r="E76" s="3" t="s">
        <v>11</v>
      </c>
      <c r="F76" s="3" t="s">
        <v>12</v>
      </c>
      <c r="G76" s="3" t="s">
        <v>268</v>
      </c>
    </row>
    <row r="77" customFormat="false" ht="15" hidden="false" customHeight="false" outlineLevel="0" collapsed="false">
      <c r="A77" s="3" t="s">
        <v>262</v>
      </c>
      <c r="B77" s="3" t="s">
        <v>269</v>
      </c>
      <c r="C77" s="3" t="s">
        <v>270</v>
      </c>
      <c r="D77" s="3" t="s">
        <v>16</v>
      </c>
      <c r="E77" s="3" t="s">
        <v>11</v>
      </c>
      <c r="F77" s="3" t="s">
        <v>12</v>
      </c>
      <c r="G77" s="3" t="s">
        <v>271</v>
      </c>
    </row>
    <row r="78" customFormat="false" ht="15" hidden="false" customHeight="false" outlineLevel="0" collapsed="false">
      <c r="A78" s="3" t="s">
        <v>262</v>
      </c>
      <c r="B78" s="3" t="s">
        <v>272</v>
      </c>
      <c r="C78" s="3" t="s">
        <v>273</v>
      </c>
      <c r="D78" s="3" t="s">
        <v>10</v>
      </c>
      <c r="E78" s="3" t="s">
        <v>11</v>
      </c>
      <c r="F78" s="3" t="s">
        <v>12</v>
      </c>
      <c r="G78" s="3" t="s">
        <v>274</v>
      </c>
    </row>
    <row r="79" customFormat="false" ht="15" hidden="false" customHeight="false" outlineLevel="0" collapsed="false">
      <c r="A79" s="3" t="s">
        <v>262</v>
      </c>
      <c r="B79" s="3" t="s">
        <v>275</v>
      </c>
      <c r="C79" s="3" t="s">
        <v>276</v>
      </c>
      <c r="D79" s="3" t="s">
        <v>16</v>
      </c>
      <c r="E79" s="3" t="s">
        <v>11</v>
      </c>
      <c r="F79" s="3" t="s">
        <v>12</v>
      </c>
      <c r="G79" s="3" t="s">
        <v>277</v>
      </c>
    </row>
    <row r="80" customFormat="false" ht="15" hidden="false" customHeight="false" outlineLevel="0" collapsed="false">
      <c r="A80" s="3" t="s">
        <v>262</v>
      </c>
      <c r="B80" s="3" t="s">
        <v>278</v>
      </c>
      <c r="C80" s="3" t="s">
        <v>279</v>
      </c>
      <c r="D80" s="3" t="s">
        <v>10</v>
      </c>
      <c r="E80" s="3" t="s">
        <v>11</v>
      </c>
      <c r="F80" s="3" t="s">
        <v>12</v>
      </c>
      <c r="G80" s="3" t="s">
        <v>280</v>
      </c>
    </row>
    <row r="81" customFormat="false" ht="15" hidden="false" customHeight="false" outlineLevel="0" collapsed="false">
      <c r="A81" s="3" t="s">
        <v>281</v>
      </c>
      <c r="B81" s="3" t="s">
        <v>282</v>
      </c>
      <c r="C81" s="3" t="s">
        <v>283</v>
      </c>
      <c r="D81" s="3" t="s">
        <v>16</v>
      </c>
      <c r="E81" s="3" t="s">
        <v>11</v>
      </c>
      <c r="F81" s="3" t="s">
        <v>12</v>
      </c>
      <c r="G81" s="3" t="s">
        <v>284</v>
      </c>
    </row>
    <row r="82" customFormat="false" ht="15" hidden="false" customHeight="false" outlineLevel="0" collapsed="false">
      <c r="A82" s="3" t="s">
        <v>281</v>
      </c>
      <c r="B82" s="3" t="s">
        <v>285</v>
      </c>
      <c r="C82" s="3" t="s">
        <v>286</v>
      </c>
      <c r="D82" s="3" t="s">
        <v>16</v>
      </c>
      <c r="E82" s="3" t="s">
        <v>11</v>
      </c>
      <c r="F82" s="3" t="s">
        <v>12</v>
      </c>
      <c r="G82" s="3" t="s">
        <v>287</v>
      </c>
    </row>
    <row r="83" customFormat="false" ht="15" hidden="false" customHeight="false" outlineLevel="0" collapsed="false">
      <c r="A83" s="3" t="s">
        <v>281</v>
      </c>
      <c r="B83" s="3" t="s">
        <v>288</v>
      </c>
      <c r="C83" s="3" t="s">
        <v>289</v>
      </c>
      <c r="D83" s="3" t="s">
        <v>16</v>
      </c>
      <c r="E83" s="3" t="s">
        <v>11</v>
      </c>
      <c r="F83" s="3" t="s">
        <v>12</v>
      </c>
      <c r="G83" s="3" t="s">
        <v>290</v>
      </c>
    </row>
    <row r="84" customFormat="false" ht="15" hidden="false" customHeight="false" outlineLevel="0" collapsed="false">
      <c r="A84" s="3" t="s">
        <v>281</v>
      </c>
      <c r="B84" s="3" t="s">
        <v>291</v>
      </c>
      <c r="C84" s="3" t="s">
        <v>292</v>
      </c>
      <c r="D84" s="3" t="s">
        <v>16</v>
      </c>
      <c r="E84" s="3" t="s">
        <v>11</v>
      </c>
      <c r="F84" s="3" t="s">
        <v>12</v>
      </c>
      <c r="G84" s="3" t="s">
        <v>293</v>
      </c>
    </row>
    <row r="85" customFormat="false" ht="15" hidden="false" customHeight="false" outlineLevel="0" collapsed="false">
      <c r="A85" s="3" t="s">
        <v>281</v>
      </c>
      <c r="B85" s="3" t="s">
        <v>294</v>
      </c>
      <c r="C85" s="3" t="s">
        <v>295</v>
      </c>
      <c r="D85" s="3" t="s">
        <v>16</v>
      </c>
      <c r="E85" s="3" t="s">
        <v>11</v>
      </c>
      <c r="F85" s="3" t="s">
        <v>12</v>
      </c>
      <c r="G85" s="3" t="s">
        <v>296</v>
      </c>
    </row>
    <row r="86" customFormat="false" ht="15" hidden="false" customHeight="false" outlineLevel="0" collapsed="false">
      <c r="A86" s="3" t="s">
        <v>281</v>
      </c>
      <c r="B86" s="3" t="s">
        <v>297</v>
      </c>
      <c r="C86" s="3" t="s">
        <v>298</v>
      </c>
      <c r="D86" s="3" t="s">
        <v>16</v>
      </c>
      <c r="E86" s="3" t="s">
        <v>11</v>
      </c>
      <c r="F86" s="3" t="s">
        <v>12</v>
      </c>
      <c r="G86" s="3" t="s">
        <v>299</v>
      </c>
    </row>
    <row r="87" customFormat="false" ht="15" hidden="false" customHeight="false" outlineLevel="0" collapsed="false">
      <c r="A87" s="3" t="s">
        <v>281</v>
      </c>
      <c r="B87" s="3" t="s">
        <v>300</v>
      </c>
      <c r="C87" s="3" t="s">
        <v>301</v>
      </c>
      <c r="D87" s="3" t="s">
        <v>16</v>
      </c>
      <c r="E87" s="3" t="s">
        <v>11</v>
      </c>
      <c r="F87" s="3" t="s">
        <v>12</v>
      </c>
      <c r="G87" s="3" t="s">
        <v>302</v>
      </c>
    </row>
    <row r="88" customFormat="false" ht="15" hidden="false" customHeight="false" outlineLevel="0" collapsed="false">
      <c r="A88" s="3" t="s">
        <v>303</v>
      </c>
      <c r="B88" s="3" t="s">
        <v>304</v>
      </c>
      <c r="C88" s="3" t="s">
        <v>305</v>
      </c>
      <c r="D88" s="3" t="s">
        <v>16</v>
      </c>
      <c r="E88" s="3" t="s">
        <v>11</v>
      </c>
      <c r="F88" s="3" t="s">
        <v>12</v>
      </c>
      <c r="G88" s="3" t="s">
        <v>306</v>
      </c>
    </row>
    <row r="89" customFormat="false" ht="15" hidden="false" customHeight="false" outlineLevel="0" collapsed="false">
      <c r="A89" s="3" t="s">
        <v>303</v>
      </c>
      <c r="B89" s="3" t="s">
        <v>307</v>
      </c>
      <c r="C89" s="3" t="s">
        <v>308</v>
      </c>
      <c r="D89" s="3" t="s">
        <v>10</v>
      </c>
      <c r="E89" s="3" t="s">
        <v>11</v>
      </c>
      <c r="F89" s="3" t="s">
        <v>12</v>
      </c>
      <c r="G89" s="3" t="s">
        <v>309</v>
      </c>
    </row>
    <row r="90" customFormat="false" ht="15" hidden="false" customHeight="false" outlineLevel="0" collapsed="false">
      <c r="A90" s="3" t="s">
        <v>303</v>
      </c>
      <c r="B90" s="3" t="s">
        <v>310</v>
      </c>
      <c r="C90" s="3" t="s">
        <v>311</v>
      </c>
      <c r="D90" s="3" t="s">
        <v>57</v>
      </c>
      <c r="E90" s="3" t="s">
        <v>11</v>
      </c>
      <c r="F90" s="3" t="s">
        <v>58</v>
      </c>
      <c r="G90" s="3" t="s">
        <v>312</v>
      </c>
    </row>
    <row r="91" customFormat="false" ht="15" hidden="false" customHeight="false" outlineLevel="0" collapsed="false">
      <c r="A91" s="3" t="s">
        <v>303</v>
      </c>
      <c r="B91" s="3" t="s">
        <v>313</v>
      </c>
      <c r="C91" s="3" t="s">
        <v>314</v>
      </c>
      <c r="D91" s="3" t="s">
        <v>57</v>
      </c>
      <c r="E91" s="3" t="s">
        <v>11</v>
      </c>
      <c r="F91" s="3" t="s">
        <v>58</v>
      </c>
      <c r="G91" s="3" t="s">
        <v>315</v>
      </c>
    </row>
    <row r="92" customFormat="false" ht="15" hidden="false" customHeight="false" outlineLevel="0" collapsed="false">
      <c r="A92" s="3" t="s">
        <v>303</v>
      </c>
      <c r="B92" s="3" t="s">
        <v>316</v>
      </c>
      <c r="C92" s="3" t="s">
        <v>317</v>
      </c>
      <c r="D92" s="3" t="s">
        <v>204</v>
      </c>
      <c r="E92" s="3" t="s">
        <v>11</v>
      </c>
      <c r="F92" s="3" t="s">
        <v>12</v>
      </c>
      <c r="G92" s="3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C47" activeCellId="0" sqref="C47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4" t="s">
        <v>319</v>
      </c>
      <c r="B1" s="4" t="s">
        <v>320</v>
      </c>
      <c r="C1" s="4" t="s">
        <v>321</v>
      </c>
      <c r="D1" s="4" t="s">
        <v>322</v>
      </c>
      <c r="E1" s="4" t="s">
        <v>3</v>
      </c>
      <c r="F1" s="4" t="s">
        <v>323</v>
      </c>
      <c r="G1" s="4" t="s">
        <v>324</v>
      </c>
    </row>
    <row r="2" customFormat="false" ht="18" hidden="false" customHeight="true" outlineLevel="0" collapsed="false">
      <c r="A2" s="5" t="s">
        <v>325</v>
      </c>
      <c r="B2" s="5"/>
      <c r="C2" s="5"/>
      <c r="D2" s="5"/>
      <c r="E2" s="5"/>
      <c r="F2" s="5"/>
      <c r="G2" s="5"/>
    </row>
    <row r="3" customFormat="false" ht="36" hidden="false" customHeight="true" outlineLevel="0" collapsed="false">
      <c r="A3" s="6" t="s">
        <v>326</v>
      </c>
      <c r="B3" s="7" t="s">
        <v>327</v>
      </c>
      <c r="C3" s="6" t="s">
        <v>328</v>
      </c>
      <c r="D3" s="6" t="s">
        <v>329</v>
      </c>
      <c r="E3" s="6" t="s">
        <v>10</v>
      </c>
      <c r="F3" s="6" t="s">
        <v>330</v>
      </c>
      <c r="G3" s="8" t="s">
        <v>331</v>
      </c>
    </row>
    <row r="4" customFormat="false" ht="36" hidden="false" customHeight="true" outlineLevel="0" collapsed="false">
      <c r="A4" s="6" t="s">
        <v>332</v>
      </c>
      <c r="B4" s="7" t="s">
        <v>333</v>
      </c>
      <c r="C4" s="6" t="s">
        <v>334</v>
      </c>
      <c r="D4" s="6" t="s">
        <v>329</v>
      </c>
      <c r="E4" s="6" t="s">
        <v>10</v>
      </c>
      <c r="F4" s="6" t="s">
        <v>330</v>
      </c>
      <c r="G4" s="8" t="s">
        <v>335</v>
      </c>
    </row>
    <row r="5" customFormat="false" ht="36" hidden="false" customHeight="true" outlineLevel="0" collapsed="false">
      <c r="A5" s="6" t="s">
        <v>332</v>
      </c>
      <c r="B5" s="7" t="s">
        <v>336</v>
      </c>
      <c r="C5" s="6" t="s">
        <v>337</v>
      </c>
      <c r="D5" s="6" t="s">
        <v>329</v>
      </c>
      <c r="E5" s="6" t="s">
        <v>10</v>
      </c>
      <c r="F5" s="6" t="s">
        <v>330</v>
      </c>
      <c r="G5" s="8" t="s">
        <v>338</v>
      </c>
    </row>
    <row r="6" customFormat="false" ht="36" hidden="false" customHeight="true" outlineLevel="0" collapsed="false">
      <c r="A6" s="6" t="s">
        <v>339</v>
      </c>
      <c r="B6" s="7" t="s">
        <v>340</v>
      </c>
      <c r="C6" s="6" t="s">
        <v>341</v>
      </c>
      <c r="D6" s="6" t="s">
        <v>329</v>
      </c>
      <c r="E6" s="6" t="s">
        <v>10</v>
      </c>
      <c r="F6" s="6" t="s">
        <v>330</v>
      </c>
      <c r="G6" s="8" t="s">
        <v>342</v>
      </c>
    </row>
    <row r="7" customFormat="false" ht="36" hidden="false" customHeight="true" outlineLevel="0" collapsed="false">
      <c r="A7" s="6" t="s">
        <v>343</v>
      </c>
      <c r="B7" s="7" t="s">
        <v>344</v>
      </c>
      <c r="C7" s="6" t="s">
        <v>345</v>
      </c>
      <c r="D7" s="6" t="s">
        <v>329</v>
      </c>
      <c r="E7" s="6" t="s">
        <v>10</v>
      </c>
      <c r="F7" s="6" t="s">
        <v>330</v>
      </c>
      <c r="G7" s="8" t="s">
        <v>346</v>
      </c>
    </row>
    <row r="8" customFormat="false" ht="36" hidden="false" customHeight="true" outlineLevel="0" collapsed="false">
      <c r="A8" s="6" t="s">
        <v>347</v>
      </c>
      <c r="B8" s="7" t="s">
        <v>348</v>
      </c>
      <c r="C8" s="6" t="s">
        <v>349</v>
      </c>
      <c r="D8" s="6" t="s">
        <v>329</v>
      </c>
      <c r="E8" s="6" t="s">
        <v>10</v>
      </c>
      <c r="F8" s="6" t="s">
        <v>330</v>
      </c>
      <c r="G8" s="8" t="s">
        <v>350</v>
      </c>
    </row>
    <row r="9" customFormat="false" ht="36" hidden="false" customHeight="true" outlineLevel="0" collapsed="false">
      <c r="A9" s="6" t="s">
        <v>351</v>
      </c>
      <c r="B9" s="7" t="s">
        <v>352</v>
      </c>
      <c r="C9" s="6" t="s">
        <v>353</v>
      </c>
      <c r="D9" s="6" t="s">
        <v>329</v>
      </c>
      <c r="E9" s="6" t="s">
        <v>10</v>
      </c>
      <c r="F9" s="6" t="s">
        <v>330</v>
      </c>
      <c r="G9" s="8" t="s">
        <v>354</v>
      </c>
    </row>
    <row r="10" customFormat="false" ht="36" hidden="false" customHeight="true" outlineLevel="0" collapsed="false">
      <c r="A10" s="6" t="s">
        <v>355</v>
      </c>
      <c r="B10" s="7" t="s">
        <v>356</v>
      </c>
      <c r="C10" s="6" t="s">
        <v>357</v>
      </c>
      <c r="D10" s="6" t="s">
        <v>329</v>
      </c>
      <c r="E10" s="6" t="s">
        <v>10</v>
      </c>
      <c r="F10" s="6" t="s">
        <v>330</v>
      </c>
      <c r="G10" s="8" t="s">
        <v>358</v>
      </c>
    </row>
    <row r="11" customFormat="false" ht="36" hidden="false" customHeight="true" outlineLevel="0" collapsed="false">
      <c r="A11" s="6" t="s">
        <v>359</v>
      </c>
      <c r="B11" s="7" t="s">
        <v>360</v>
      </c>
      <c r="C11" s="6" t="s">
        <v>361</v>
      </c>
      <c r="D11" s="6" t="s">
        <v>329</v>
      </c>
      <c r="E11" s="6" t="s">
        <v>10</v>
      </c>
      <c r="F11" s="6" t="s">
        <v>330</v>
      </c>
      <c r="G11" s="8" t="s">
        <v>362</v>
      </c>
    </row>
    <row r="12" customFormat="false" ht="36" hidden="false" customHeight="true" outlineLevel="0" collapsed="false">
      <c r="A12" s="6" t="s">
        <v>363</v>
      </c>
      <c r="B12" s="7" t="s">
        <v>364</v>
      </c>
      <c r="C12" s="6" t="s">
        <v>365</v>
      </c>
      <c r="D12" s="6" t="s">
        <v>329</v>
      </c>
      <c r="E12" s="6" t="s">
        <v>10</v>
      </c>
      <c r="F12" s="6" t="s">
        <v>330</v>
      </c>
      <c r="G12" s="8" t="s">
        <v>366</v>
      </c>
    </row>
    <row r="13" customFormat="false" ht="36" hidden="false" customHeight="true" outlineLevel="0" collapsed="false">
      <c r="A13" s="6" t="s">
        <v>367</v>
      </c>
      <c r="B13" s="7" t="s">
        <v>368</v>
      </c>
      <c r="C13" s="6" t="s">
        <v>369</v>
      </c>
      <c r="D13" s="6" t="s">
        <v>329</v>
      </c>
      <c r="E13" s="6" t="s">
        <v>10</v>
      </c>
      <c r="F13" s="6" t="s">
        <v>330</v>
      </c>
      <c r="G13" s="8" t="s">
        <v>370</v>
      </c>
    </row>
    <row r="14" customFormat="false" ht="36" hidden="false" customHeight="true" outlineLevel="0" collapsed="false">
      <c r="A14" s="6" t="s">
        <v>371</v>
      </c>
      <c r="B14" s="7" t="s">
        <v>372</v>
      </c>
      <c r="C14" s="6" t="s">
        <v>373</v>
      </c>
      <c r="D14" s="6" t="s">
        <v>329</v>
      </c>
      <c r="E14" s="6" t="s">
        <v>10</v>
      </c>
      <c r="F14" s="6" t="s">
        <v>330</v>
      </c>
      <c r="G14" s="8" t="s">
        <v>374</v>
      </c>
    </row>
    <row r="15" customFormat="false" ht="36" hidden="false" customHeight="true" outlineLevel="0" collapsed="false">
      <c r="A15" s="6" t="s">
        <v>375</v>
      </c>
      <c r="B15" s="7" t="s">
        <v>376</v>
      </c>
      <c r="C15" s="6" t="s">
        <v>377</v>
      </c>
      <c r="D15" s="6" t="s">
        <v>329</v>
      </c>
      <c r="E15" s="6" t="s">
        <v>10</v>
      </c>
      <c r="F15" s="6" t="s">
        <v>330</v>
      </c>
      <c r="G15" s="8" t="s">
        <v>378</v>
      </c>
    </row>
    <row r="16" customFormat="false" ht="36" hidden="false" customHeight="true" outlineLevel="0" collapsed="false">
      <c r="A16" s="6" t="s">
        <v>379</v>
      </c>
      <c r="B16" s="7" t="s">
        <v>380</v>
      </c>
      <c r="C16" s="6" t="s">
        <v>381</v>
      </c>
      <c r="D16" s="6" t="s">
        <v>329</v>
      </c>
      <c r="E16" s="6" t="s">
        <v>10</v>
      </c>
      <c r="F16" s="6" t="s">
        <v>330</v>
      </c>
      <c r="G16" s="8" t="s">
        <v>382</v>
      </c>
    </row>
    <row r="17" customFormat="false" ht="18" hidden="false" customHeight="true" outlineLevel="0" collapsed="false">
      <c r="A17" s="9" t="s">
        <v>383</v>
      </c>
      <c r="B17" s="9"/>
      <c r="C17" s="9"/>
      <c r="D17" s="9"/>
      <c r="E17" s="9"/>
      <c r="F17" s="9"/>
      <c r="G17" s="9"/>
    </row>
    <row r="18" customFormat="false" ht="36" hidden="false" customHeight="true" outlineLevel="0" collapsed="false">
      <c r="A18" s="6" t="s">
        <v>384</v>
      </c>
      <c r="B18" s="7" t="s">
        <v>385</v>
      </c>
      <c r="C18" s="6" t="s">
        <v>386</v>
      </c>
      <c r="D18" s="6" t="s">
        <v>387</v>
      </c>
      <c r="E18" s="6" t="s">
        <v>388</v>
      </c>
      <c r="F18" s="6" t="s">
        <v>389</v>
      </c>
      <c r="G18" s="8" t="s">
        <v>390</v>
      </c>
    </row>
    <row r="19" customFormat="false" ht="36" hidden="false" customHeight="true" outlineLevel="0" collapsed="false">
      <c r="A19" s="6" t="s">
        <v>391</v>
      </c>
      <c r="B19" s="7" t="s">
        <v>392</v>
      </c>
      <c r="C19" s="6" t="s">
        <v>386</v>
      </c>
      <c r="D19" s="6" t="s">
        <v>387</v>
      </c>
      <c r="E19" s="6" t="s">
        <v>388</v>
      </c>
      <c r="F19" s="6" t="s">
        <v>389</v>
      </c>
      <c r="G19" s="8" t="s">
        <v>393</v>
      </c>
    </row>
    <row r="20" customFormat="false" ht="36" hidden="false" customHeight="true" outlineLevel="0" collapsed="false">
      <c r="A20" s="6" t="s">
        <v>394</v>
      </c>
      <c r="B20" s="7" t="s">
        <v>395</v>
      </c>
      <c r="C20" s="6" t="s">
        <v>386</v>
      </c>
      <c r="D20" s="6" t="s">
        <v>387</v>
      </c>
      <c r="E20" s="6" t="s">
        <v>388</v>
      </c>
      <c r="F20" s="6" t="s">
        <v>389</v>
      </c>
      <c r="G20" s="8" t="s">
        <v>396</v>
      </c>
    </row>
    <row r="21" customFormat="false" ht="36" hidden="false" customHeight="true" outlineLevel="0" collapsed="false">
      <c r="A21" s="6" t="s">
        <v>397</v>
      </c>
      <c r="B21" s="7" t="s">
        <v>398</v>
      </c>
      <c r="C21" s="6" t="s">
        <v>386</v>
      </c>
      <c r="D21" s="6" t="s">
        <v>387</v>
      </c>
      <c r="E21" s="6" t="s">
        <v>388</v>
      </c>
      <c r="F21" s="6" t="s">
        <v>389</v>
      </c>
      <c r="G21" s="8" t="s">
        <v>399</v>
      </c>
    </row>
    <row r="22" customFormat="false" ht="36" hidden="false" customHeight="true" outlineLevel="0" collapsed="false">
      <c r="A22" s="6" t="s">
        <v>257</v>
      </c>
      <c r="B22" s="7" t="s">
        <v>400</v>
      </c>
      <c r="C22" s="6" t="s">
        <v>386</v>
      </c>
      <c r="D22" s="6" t="s">
        <v>387</v>
      </c>
      <c r="E22" s="6" t="s">
        <v>388</v>
      </c>
      <c r="F22" s="6" t="s">
        <v>389</v>
      </c>
      <c r="G22" s="8" t="s">
        <v>401</v>
      </c>
    </row>
    <row r="23" customFormat="false" ht="36" hidden="false" customHeight="true" outlineLevel="0" collapsed="false">
      <c r="A23" s="6" t="s">
        <v>402</v>
      </c>
      <c r="B23" s="7" t="s">
        <v>403</v>
      </c>
      <c r="C23" s="6" t="s">
        <v>386</v>
      </c>
      <c r="D23" s="6" t="s">
        <v>387</v>
      </c>
      <c r="E23" s="6" t="s">
        <v>388</v>
      </c>
      <c r="F23" s="6" t="s">
        <v>389</v>
      </c>
      <c r="G23" s="8" t="s">
        <v>404</v>
      </c>
    </row>
    <row r="24" customFormat="false" ht="36" hidden="false" customHeight="true" outlineLevel="0" collapsed="false">
      <c r="A24" s="6" t="s">
        <v>405</v>
      </c>
      <c r="B24" s="7" t="s">
        <v>406</v>
      </c>
      <c r="C24" s="6" t="s">
        <v>386</v>
      </c>
      <c r="D24" s="6" t="s">
        <v>387</v>
      </c>
      <c r="E24" s="6" t="s">
        <v>388</v>
      </c>
      <c r="F24" s="6" t="s">
        <v>389</v>
      </c>
      <c r="G24" s="8" t="s">
        <v>407</v>
      </c>
    </row>
    <row r="25" customFormat="false" ht="36" hidden="false" customHeight="true" outlineLevel="0" collapsed="false">
      <c r="A25" s="6" t="s">
        <v>408</v>
      </c>
      <c r="B25" s="7" t="s">
        <v>409</v>
      </c>
      <c r="C25" s="6" t="s">
        <v>386</v>
      </c>
      <c r="D25" s="6" t="s">
        <v>387</v>
      </c>
      <c r="E25" s="6" t="s">
        <v>388</v>
      </c>
      <c r="F25" s="6" t="s">
        <v>389</v>
      </c>
      <c r="G25" s="8" t="s">
        <v>410</v>
      </c>
    </row>
    <row r="26" customFormat="false" ht="36" hidden="false" customHeight="true" outlineLevel="0" collapsed="false">
      <c r="A26" s="6" t="s">
        <v>411</v>
      </c>
      <c r="B26" s="7" t="s">
        <v>412</v>
      </c>
      <c r="C26" s="6" t="s">
        <v>386</v>
      </c>
      <c r="D26" s="6" t="s">
        <v>387</v>
      </c>
      <c r="E26" s="6" t="s">
        <v>388</v>
      </c>
      <c r="F26" s="6" t="s">
        <v>389</v>
      </c>
      <c r="G26" s="8" t="s">
        <v>413</v>
      </c>
    </row>
    <row r="27" customFormat="false" ht="36" hidden="false" customHeight="true" outlineLevel="0" collapsed="false">
      <c r="A27" s="6" t="s">
        <v>414</v>
      </c>
      <c r="B27" s="7" t="s">
        <v>415</v>
      </c>
      <c r="C27" s="6" t="s">
        <v>386</v>
      </c>
      <c r="D27" s="6" t="s">
        <v>387</v>
      </c>
      <c r="E27" s="6" t="s">
        <v>388</v>
      </c>
      <c r="F27" s="6" t="s">
        <v>389</v>
      </c>
      <c r="G27" s="8" t="s">
        <v>416</v>
      </c>
    </row>
    <row r="28" customFormat="false" ht="36" hidden="false" customHeight="true" outlineLevel="0" collapsed="false">
      <c r="A28" s="6" t="s">
        <v>417</v>
      </c>
      <c r="B28" s="7" t="s">
        <v>418</v>
      </c>
      <c r="C28" s="6" t="s">
        <v>386</v>
      </c>
      <c r="D28" s="6" t="s">
        <v>387</v>
      </c>
      <c r="E28" s="6" t="s">
        <v>388</v>
      </c>
      <c r="F28" s="6" t="s">
        <v>389</v>
      </c>
      <c r="G28" s="8" t="s">
        <v>419</v>
      </c>
    </row>
    <row r="29" customFormat="false" ht="18" hidden="false" customHeight="true" outlineLevel="0" collapsed="false">
      <c r="A29" s="10" t="s">
        <v>420</v>
      </c>
      <c r="B29" s="10"/>
      <c r="C29" s="10"/>
      <c r="D29" s="10"/>
      <c r="E29" s="10"/>
      <c r="F29" s="10"/>
      <c r="G29" s="10"/>
    </row>
    <row r="30" customFormat="false" ht="36" hidden="false" customHeight="true" outlineLevel="0" collapsed="false">
      <c r="A30" s="6" t="s">
        <v>421</v>
      </c>
      <c r="B30" s="7" t="s">
        <v>422</v>
      </c>
      <c r="C30" s="6" t="s">
        <v>423</v>
      </c>
      <c r="D30" s="6" t="s">
        <v>329</v>
      </c>
      <c r="E30" s="6" t="s">
        <v>10</v>
      </c>
      <c r="F30" s="6" t="s">
        <v>424</v>
      </c>
      <c r="G30" s="8" t="s">
        <v>425</v>
      </c>
    </row>
    <row r="31" customFormat="false" ht="36" hidden="false" customHeight="true" outlineLevel="0" collapsed="false">
      <c r="A31" s="6" t="s">
        <v>426</v>
      </c>
      <c r="B31" s="7" t="s">
        <v>427</v>
      </c>
      <c r="C31" s="6" t="s">
        <v>428</v>
      </c>
      <c r="D31" s="6" t="s">
        <v>329</v>
      </c>
      <c r="E31" s="6" t="s">
        <v>10</v>
      </c>
      <c r="F31" s="6" t="s">
        <v>424</v>
      </c>
      <c r="G31" s="8" t="s">
        <v>429</v>
      </c>
    </row>
    <row r="32" customFormat="false" ht="36" hidden="false" customHeight="true" outlineLevel="0" collapsed="false">
      <c r="A32" s="6" t="s">
        <v>430</v>
      </c>
      <c r="B32" s="7" t="s">
        <v>431</v>
      </c>
      <c r="C32" s="6" t="s">
        <v>432</v>
      </c>
      <c r="D32" s="6" t="s">
        <v>329</v>
      </c>
      <c r="E32" s="6" t="s">
        <v>10</v>
      </c>
      <c r="F32" s="6" t="s">
        <v>424</v>
      </c>
      <c r="G32" s="8" t="s">
        <v>433</v>
      </c>
    </row>
    <row r="34" customFormat="false" ht="18" hidden="false" customHeight="true" outlineLevel="0" collapsed="false">
      <c r="A34" s="11" t="s">
        <v>434</v>
      </c>
      <c r="B34" s="11" t="s">
        <v>435</v>
      </c>
      <c r="C34" s="11" t="s">
        <v>436</v>
      </c>
      <c r="D34" s="11" t="s">
        <v>6</v>
      </c>
    </row>
    <row r="35" customFormat="false" ht="24" hidden="false" customHeight="true" outlineLevel="0" collapsed="false">
      <c r="A35" s="7" t="s">
        <v>437</v>
      </c>
      <c r="B35" s="12" t="s">
        <v>438</v>
      </c>
      <c r="C35" s="8" t="s">
        <v>439</v>
      </c>
      <c r="D35" s="8" t="s">
        <v>440</v>
      </c>
      <c r="E35" s="8"/>
      <c r="F35" s="8"/>
      <c r="G35" s="8"/>
    </row>
    <row r="36" customFormat="false" ht="24" hidden="false" customHeight="true" outlineLevel="0" collapsed="false">
      <c r="A36" s="7" t="s">
        <v>441</v>
      </c>
      <c r="B36" s="12" t="s">
        <v>442</v>
      </c>
      <c r="C36" s="8" t="s">
        <v>443</v>
      </c>
      <c r="D36" s="8" t="s">
        <v>444</v>
      </c>
      <c r="E36" s="8"/>
      <c r="F36" s="8"/>
      <c r="G36" s="8"/>
    </row>
    <row r="37" customFormat="false" ht="24" hidden="false" customHeight="true" outlineLevel="0" collapsed="false">
      <c r="A37" s="7" t="s">
        <v>445</v>
      </c>
      <c r="B37" s="12" t="s">
        <v>446</v>
      </c>
      <c r="C37" s="8" t="s">
        <v>447</v>
      </c>
      <c r="D37" s="8" t="s">
        <v>448</v>
      </c>
      <c r="E37" s="8"/>
      <c r="F37" s="8"/>
      <c r="G37" s="8"/>
    </row>
    <row r="38" customFormat="false" ht="24" hidden="false" customHeight="true" outlineLevel="0" collapsed="false">
      <c r="A38" s="7" t="s">
        <v>449</v>
      </c>
      <c r="B38" s="12" t="s">
        <v>450</v>
      </c>
      <c r="C38" s="8" t="s">
        <v>451</v>
      </c>
      <c r="D38" s="8" t="s">
        <v>452</v>
      </c>
      <c r="E38" s="8"/>
      <c r="F38" s="8"/>
      <c r="G38" s="8"/>
    </row>
  </sheetData>
  <mergeCells count="7">
    <mergeCell ref="A2:G2"/>
    <mergeCell ref="A17:G17"/>
    <mergeCell ref="A29:G29"/>
    <mergeCell ref="D35:G35"/>
    <mergeCell ref="D36:G36"/>
    <mergeCell ref="D37:G37"/>
    <mergeCell ref="D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" topLeftCell="A10" activePane="bottomLeft" state="frozen"/>
      <selection pane="topLeft" activeCell="A1" activeCellId="0" sqref="A1"/>
      <selection pane="bottomLeft" activeCell="C28" activeCellId="0" sqref="C28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6" min="5" style="0" width="1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1" min="9" style="0" width="18"/>
    <col collapsed="false" customWidth="true" hidden="false" outlineLevel="0" max="12" min="12" style="0" width="40"/>
    <col collapsed="false" customWidth="true" hidden="false" outlineLevel="0" max="13" min="13" style="0" width="22"/>
  </cols>
  <sheetData>
    <row r="1" customFormat="false" ht="23.25" hidden="false" customHeight="true" outlineLevel="0" collapsed="false">
      <c r="A1" s="1" t="s">
        <v>434</v>
      </c>
      <c r="B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  <c r="K1" s="1" t="s">
        <v>5</v>
      </c>
      <c r="L1" s="1" t="s">
        <v>462</v>
      </c>
      <c r="M1" s="13" t="s">
        <v>463</v>
      </c>
    </row>
    <row r="2" customFormat="false" ht="45" hidden="false" customHeight="true" outlineLevel="0" collapsed="false">
      <c r="A2" s="2" t="s">
        <v>464</v>
      </c>
      <c r="B2" s="2" t="s">
        <v>9</v>
      </c>
      <c r="C2" s="2" t="s">
        <v>10</v>
      </c>
      <c r="D2" s="2" t="s">
        <v>465</v>
      </c>
      <c r="E2" s="2" t="s">
        <v>466</v>
      </c>
      <c r="F2" s="2" t="s">
        <v>466</v>
      </c>
      <c r="G2" s="2" t="s">
        <v>466</v>
      </c>
      <c r="H2" s="2" t="s">
        <v>466</v>
      </c>
      <c r="I2" s="2" t="s">
        <v>466</v>
      </c>
      <c r="J2" s="2" t="s">
        <v>467</v>
      </c>
      <c r="K2" s="2" t="s">
        <v>12</v>
      </c>
      <c r="L2" s="2"/>
      <c r="M2" s="14"/>
    </row>
    <row r="3" customFormat="false" ht="45" hidden="false" customHeight="true" outlineLevel="0" collapsed="false">
      <c r="A3" s="2" t="s">
        <v>464</v>
      </c>
      <c r="B3" s="2" t="s">
        <v>15</v>
      </c>
      <c r="C3" s="2" t="s">
        <v>16</v>
      </c>
      <c r="D3" s="2" t="s">
        <v>468</v>
      </c>
      <c r="E3" s="2" t="s">
        <v>466</v>
      </c>
      <c r="F3" s="2" t="s">
        <v>466</v>
      </c>
      <c r="G3" s="2" t="s">
        <v>466</v>
      </c>
      <c r="H3" s="2"/>
      <c r="I3" s="2" t="s">
        <v>466</v>
      </c>
      <c r="J3" s="2" t="s">
        <v>467</v>
      </c>
      <c r="K3" s="2" t="s">
        <v>12</v>
      </c>
      <c r="L3" s="2"/>
      <c r="M3" s="14"/>
    </row>
    <row r="4" customFormat="false" ht="45" hidden="false" customHeight="true" outlineLevel="0" collapsed="false">
      <c r="A4" s="2" t="s">
        <v>464</v>
      </c>
      <c r="B4" s="2" t="s">
        <v>19</v>
      </c>
      <c r="C4" s="2" t="s">
        <v>469</v>
      </c>
      <c r="D4" s="2" t="s">
        <v>470</v>
      </c>
      <c r="E4" s="2" t="s">
        <v>466</v>
      </c>
      <c r="F4" s="2" t="s">
        <v>466</v>
      </c>
      <c r="G4" s="2" t="s">
        <v>466</v>
      </c>
      <c r="H4" s="2"/>
      <c r="I4" s="2" t="s">
        <v>466</v>
      </c>
      <c r="J4" s="2" t="s">
        <v>471</v>
      </c>
      <c r="K4" s="2" t="s">
        <v>12</v>
      </c>
      <c r="L4" s="2"/>
      <c r="M4" s="14"/>
    </row>
    <row r="5" customFormat="false" ht="45" hidden="false" customHeight="true" outlineLevel="0" collapsed="false">
      <c r="A5" s="2" t="s">
        <v>464</v>
      </c>
      <c r="B5" s="2" t="s">
        <v>24</v>
      </c>
      <c r="C5" s="2" t="s">
        <v>10</v>
      </c>
      <c r="D5" s="2" t="s">
        <v>472</v>
      </c>
      <c r="E5" s="2" t="s">
        <v>466</v>
      </c>
      <c r="F5" s="2" t="s">
        <v>466</v>
      </c>
      <c r="G5" s="2" t="s">
        <v>466</v>
      </c>
      <c r="H5" s="2" t="s">
        <v>466</v>
      </c>
      <c r="I5" s="2" t="s">
        <v>466</v>
      </c>
      <c r="J5" s="2" t="s">
        <v>467</v>
      </c>
      <c r="K5" s="2" t="s">
        <v>12</v>
      </c>
      <c r="L5" s="2"/>
      <c r="M5" s="15" t="s">
        <v>473</v>
      </c>
    </row>
    <row r="6" customFormat="false" ht="45" hidden="false" customHeight="true" outlineLevel="0" collapsed="false">
      <c r="A6" s="2" t="s">
        <v>464</v>
      </c>
      <c r="B6" s="2" t="s">
        <v>27</v>
      </c>
      <c r="C6" s="2" t="s">
        <v>10</v>
      </c>
      <c r="D6" s="2" t="s">
        <v>474</v>
      </c>
      <c r="E6" s="2" t="s">
        <v>466</v>
      </c>
      <c r="F6" s="2" t="s">
        <v>466</v>
      </c>
      <c r="G6" s="2" t="s">
        <v>466</v>
      </c>
      <c r="H6" s="2" t="s">
        <v>466</v>
      </c>
      <c r="I6" s="2" t="s">
        <v>466</v>
      </c>
      <c r="J6" s="2" t="s">
        <v>467</v>
      </c>
      <c r="K6" s="2" t="s">
        <v>12</v>
      </c>
      <c r="L6" s="2"/>
      <c r="M6" s="14"/>
    </row>
    <row r="7" customFormat="false" ht="45" hidden="false" customHeight="true" outlineLevel="0" collapsed="false">
      <c r="A7" s="2" t="s">
        <v>464</v>
      </c>
      <c r="B7" s="2" t="s">
        <v>30</v>
      </c>
      <c r="C7" s="2" t="s">
        <v>16</v>
      </c>
      <c r="D7" s="2" t="s">
        <v>475</v>
      </c>
      <c r="E7" s="2" t="s">
        <v>466</v>
      </c>
      <c r="F7" s="2" t="s">
        <v>466</v>
      </c>
      <c r="G7" s="2" t="s">
        <v>466</v>
      </c>
      <c r="H7" s="2"/>
      <c r="I7" s="2" t="s">
        <v>466</v>
      </c>
      <c r="J7" s="2" t="s">
        <v>467</v>
      </c>
      <c r="K7" s="2" t="s">
        <v>12</v>
      </c>
      <c r="L7" s="2"/>
      <c r="M7" s="14"/>
    </row>
    <row r="8" customFormat="false" ht="45" hidden="false" customHeight="true" outlineLevel="0" collapsed="false">
      <c r="A8" s="2" t="s">
        <v>476</v>
      </c>
      <c r="B8" s="2" t="s">
        <v>34</v>
      </c>
      <c r="C8" s="2" t="s">
        <v>477</v>
      </c>
      <c r="D8" s="2" t="s">
        <v>478</v>
      </c>
      <c r="E8" s="2" t="s">
        <v>466</v>
      </c>
      <c r="F8" s="2" t="s">
        <v>466</v>
      </c>
      <c r="G8" s="2" t="s">
        <v>466</v>
      </c>
      <c r="H8" s="2" t="s">
        <v>466</v>
      </c>
      <c r="I8" s="2" t="s">
        <v>466</v>
      </c>
      <c r="J8" s="2" t="s">
        <v>479</v>
      </c>
      <c r="K8" s="2" t="s">
        <v>11</v>
      </c>
      <c r="L8" s="2" t="s">
        <v>480</v>
      </c>
      <c r="M8" s="14"/>
    </row>
    <row r="9" customFormat="false" ht="45" hidden="false" customHeight="true" outlineLevel="0" collapsed="false">
      <c r="A9" s="2" t="s">
        <v>481</v>
      </c>
      <c r="B9" s="2" t="s">
        <v>482</v>
      </c>
      <c r="C9" s="2" t="s">
        <v>16</v>
      </c>
      <c r="D9" s="2" t="s">
        <v>483</v>
      </c>
      <c r="E9" s="2" t="s">
        <v>466</v>
      </c>
      <c r="F9" s="2" t="s">
        <v>466</v>
      </c>
      <c r="G9" s="2" t="s">
        <v>466</v>
      </c>
      <c r="H9" s="2" t="s">
        <v>466</v>
      </c>
      <c r="I9" s="2" t="s">
        <v>466</v>
      </c>
      <c r="J9" s="2" t="s">
        <v>467</v>
      </c>
      <c r="K9" s="2" t="s">
        <v>12</v>
      </c>
      <c r="L9" s="2"/>
      <c r="M9" s="16" t="s">
        <v>484</v>
      </c>
    </row>
    <row r="10" customFormat="false" ht="45" hidden="false" customHeight="true" outlineLevel="0" collapsed="false">
      <c r="A10" s="2" t="s">
        <v>481</v>
      </c>
      <c r="B10" s="2" t="s">
        <v>43</v>
      </c>
      <c r="C10" s="2" t="s">
        <v>16</v>
      </c>
      <c r="D10" s="2" t="s">
        <v>485</v>
      </c>
      <c r="E10" s="2" t="s">
        <v>466</v>
      </c>
      <c r="F10" s="2" t="s">
        <v>466</v>
      </c>
      <c r="G10" s="2" t="s">
        <v>466</v>
      </c>
      <c r="H10" s="2"/>
      <c r="I10" s="2" t="s">
        <v>466</v>
      </c>
      <c r="J10" s="2" t="s">
        <v>467</v>
      </c>
      <c r="K10" s="2" t="s">
        <v>12</v>
      </c>
      <c r="L10" s="2"/>
      <c r="M10" s="14"/>
    </row>
    <row r="11" customFormat="false" ht="45" hidden="false" customHeight="true" outlineLevel="0" collapsed="false">
      <c r="A11" s="2" t="s">
        <v>481</v>
      </c>
      <c r="B11" s="2" t="s">
        <v>46</v>
      </c>
      <c r="C11" s="2" t="s">
        <v>16</v>
      </c>
      <c r="D11" s="2" t="s">
        <v>486</v>
      </c>
      <c r="E11" s="2" t="s">
        <v>466</v>
      </c>
      <c r="F11" s="2" t="s">
        <v>466</v>
      </c>
      <c r="G11" s="2" t="s">
        <v>466</v>
      </c>
      <c r="H11" s="2"/>
      <c r="I11" s="2" t="s">
        <v>466</v>
      </c>
      <c r="J11" s="2" t="s">
        <v>467</v>
      </c>
      <c r="K11" s="2" t="s">
        <v>12</v>
      </c>
      <c r="L11" s="2"/>
      <c r="M11" s="14"/>
    </row>
    <row r="12" customFormat="false" ht="45" hidden="false" customHeight="true" outlineLevel="0" collapsed="false">
      <c r="A12" s="2" t="s">
        <v>188</v>
      </c>
      <c r="B12" s="2" t="s">
        <v>189</v>
      </c>
      <c r="C12" s="2" t="s">
        <v>51</v>
      </c>
      <c r="D12" s="2" t="s">
        <v>487</v>
      </c>
      <c r="E12" s="2" t="s">
        <v>466</v>
      </c>
      <c r="F12" s="2" t="s">
        <v>466</v>
      </c>
      <c r="G12" s="2" t="s">
        <v>466</v>
      </c>
      <c r="H12" s="2" t="s">
        <v>466</v>
      </c>
      <c r="I12" s="2" t="s">
        <v>466</v>
      </c>
      <c r="J12" s="2" t="s">
        <v>488</v>
      </c>
      <c r="K12" s="2" t="s">
        <v>11</v>
      </c>
      <c r="L12" s="2" t="s">
        <v>489</v>
      </c>
      <c r="M12" s="14"/>
    </row>
    <row r="13" customFormat="false" ht="45" hidden="false" customHeight="true" outlineLevel="0" collapsed="false">
      <c r="A13" s="2" t="s">
        <v>188</v>
      </c>
      <c r="B13" s="2" t="s">
        <v>490</v>
      </c>
      <c r="C13" s="2" t="s">
        <v>491</v>
      </c>
      <c r="D13" s="2" t="s">
        <v>492</v>
      </c>
      <c r="E13" s="2" t="s">
        <v>466</v>
      </c>
      <c r="F13" s="2" t="s">
        <v>466</v>
      </c>
      <c r="G13" s="2" t="s">
        <v>466</v>
      </c>
      <c r="H13" s="2" t="s">
        <v>466</v>
      </c>
      <c r="I13" s="2" t="s">
        <v>466</v>
      </c>
      <c r="J13" s="2" t="s">
        <v>493</v>
      </c>
      <c r="K13" s="2" t="s">
        <v>494</v>
      </c>
      <c r="L13" s="2" t="s">
        <v>495</v>
      </c>
      <c r="M13" s="14"/>
    </row>
    <row r="14" customFormat="false" ht="45" hidden="false" customHeight="true" outlineLevel="0" collapsed="false">
      <c r="A14" s="2" t="s">
        <v>332</v>
      </c>
      <c r="B14" s="2" t="s">
        <v>62</v>
      </c>
      <c r="C14" s="2" t="s">
        <v>16</v>
      </c>
      <c r="D14" s="2" t="s">
        <v>496</v>
      </c>
      <c r="E14" s="2" t="s">
        <v>466</v>
      </c>
      <c r="F14" s="2" t="s">
        <v>466</v>
      </c>
      <c r="G14" s="2" t="s">
        <v>466</v>
      </c>
      <c r="H14" s="2" t="s">
        <v>466</v>
      </c>
      <c r="I14" s="2" t="s">
        <v>466</v>
      </c>
      <c r="J14" s="2" t="s">
        <v>467</v>
      </c>
      <c r="K14" s="2" t="s">
        <v>12</v>
      </c>
      <c r="L14" s="2"/>
      <c r="M14" s="16" t="s">
        <v>497</v>
      </c>
    </row>
    <row r="15" customFormat="false" ht="45" hidden="false" customHeight="true" outlineLevel="0" collapsed="false">
      <c r="A15" s="2" t="s">
        <v>332</v>
      </c>
      <c r="B15" s="2" t="s">
        <v>65</v>
      </c>
      <c r="C15" s="2" t="s">
        <v>16</v>
      </c>
      <c r="D15" s="2" t="s">
        <v>498</v>
      </c>
      <c r="E15" s="2" t="s">
        <v>466</v>
      </c>
      <c r="F15" s="2" t="s">
        <v>466</v>
      </c>
      <c r="G15" s="2" t="s">
        <v>466</v>
      </c>
      <c r="H15" s="2" t="s">
        <v>466</v>
      </c>
      <c r="I15" s="2" t="s">
        <v>466</v>
      </c>
      <c r="J15" s="2" t="s">
        <v>467</v>
      </c>
      <c r="K15" s="2" t="s">
        <v>12</v>
      </c>
      <c r="L15" s="2"/>
      <c r="M15" s="16" t="s">
        <v>499</v>
      </c>
    </row>
    <row r="16" customFormat="false" ht="45" hidden="false" customHeight="true" outlineLevel="0" collapsed="false">
      <c r="A16" s="2" t="s">
        <v>332</v>
      </c>
      <c r="B16" s="2" t="s">
        <v>68</v>
      </c>
      <c r="C16" s="2" t="s">
        <v>10</v>
      </c>
      <c r="D16" s="2" t="s">
        <v>500</v>
      </c>
      <c r="E16" s="2" t="s">
        <v>466</v>
      </c>
      <c r="F16" s="2" t="s">
        <v>466</v>
      </c>
      <c r="G16" s="2" t="s">
        <v>466</v>
      </c>
      <c r="H16" s="2" t="s">
        <v>466</v>
      </c>
      <c r="I16" s="2" t="s">
        <v>466</v>
      </c>
      <c r="J16" s="2" t="s">
        <v>467</v>
      </c>
      <c r="K16" s="2" t="s">
        <v>12</v>
      </c>
      <c r="L16" s="2" t="s">
        <v>501</v>
      </c>
      <c r="M16" s="14"/>
    </row>
    <row r="17" customFormat="false" ht="45" hidden="false" customHeight="true" outlineLevel="0" collapsed="false">
      <c r="A17" s="2" t="s">
        <v>332</v>
      </c>
      <c r="B17" s="2" t="s">
        <v>71</v>
      </c>
      <c r="C17" s="2" t="s">
        <v>502</v>
      </c>
      <c r="D17" s="2" t="s">
        <v>503</v>
      </c>
      <c r="E17" s="2" t="s">
        <v>466</v>
      </c>
      <c r="F17" s="2" t="s">
        <v>466</v>
      </c>
      <c r="G17" s="2" t="s">
        <v>466</v>
      </c>
      <c r="H17" s="2" t="s">
        <v>466</v>
      </c>
      <c r="I17" s="2" t="s">
        <v>466</v>
      </c>
      <c r="J17" s="2" t="s">
        <v>504</v>
      </c>
      <c r="K17" s="2" t="s">
        <v>12</v>
      </c>
      <c r="L17" s="2" t="s">
        <v>505</v>
      </c>
      <c r="M17" s="14"/>
    </row>
    <row r="18" customFormat="false" ht="45" hidden="false" customHeight="true" outlineLevel="0" collapsed="false">
      <c r="A18" s="2" t="s">
        <v>326</v>
      </c>
      <c r="B18" s="2" t="s">
        <v>80</v>
      </c>
      <c r="C18" s="2" t="s">
        <v>16</v>
      </c>
      <c r="D18" s="2" t="s">
        <v>506</v>
      </c>
      <c r="E18" s="2" t="s">
        <v>466</v>
      </c>
      <c r="F18" s="2" t="s">
        <v>466</v>
      </c>
      <c r="G18" s="2" t="s">
        <v>466</v>
      </c>
      <c r="H18" s="2" t="s">
        <v>466</v>
      </c>
      <c r="I18" s="2" t="s">
        <v>466</v>
      </c>
      <c r="J18" s="17" t="s">
        <v>507</v>
      </c>
      <c r="K18" s="2" t="s">
        <v>12</v>
      </c>
      <c r="L18" s="17" t="s">
        <v>508</v>
      </c>
      <c r="M18" s="18" t="s">
        <v>509</v>
      </c>
    </row>
    <row r="19" customFormat="false" ht="45" hidden="false" customHeight="true" outlineLevel="0" collapsed="false">
      <c r="A19" s="2" t="s">
        <v>326</v>
      </c>
      <c r="B19" s="2" t="s">
        <v>83</v>
      </c>
      <c r="C19" s="2" t="s">
        <v>16</v>
      </c>
      <c r="D19" s="2" t="s">
        <v>510</v>
      </c>
      <c r="E19" s="2" t="s">
        <v>466</v>
      </c>
      <c r="F19" s="2" t="s">
        <v>466</v>
      </c>
      <c r="G19" s="2" t="s">
        <v>466</v>
      </c>
      <c r="H19" s="2" t="s">
        <v>466</v>
      </c>
      <c r="I19" s="2" t="s">
        <v>466</v>
      </c>
      <c r="J19" s="2" t="s">
        <v>467</v>
      </c>
      <c r="K19" s="2" t="s">
        <v>12</v>
      </c>
      <c r="L19" s="2"/>
      <c r="M19" s="16" t="s">
        <v>511</v>
      </c>
    </row>
    <row r="20" customFormat="false" ht="45" hidden="false" customHeight="true" outlineLevel="0" collapsed="false">
      <c r="A20" s="2" t="s">
        <v>512</v>
      </c>
      <c r="B20" s="2" t="s">
        <v>87</v>
      </c>
      <c r="C20" s="2" t="s">
        <v>100</v>
      </c>
      <c r="D20" s="2" t="s">
        <v>513</v>
      </c>
      <c r="E20" s="2" t="s">
        <v>466</v>
      </c>
      <c r="F20" s="2" t="s">
        <v>466</v>
      </c>
      <c r="G20" s="2" t="s">
        <v>466</v>
      </c>
      <c r="H20" s="2" t="s">
        <v>466</v>
      </c>
      <c r="I20" s="2" t="s">
        <v>466</v>
      </c>
      <c r="J20" s="2" t="s">
        <v>467</v>
      </c>
      <c r="K20" s="2" t="s">
        <v>11</v>
      </c>
      <c r="L20" s="2" t="s">
        <v>514</v>
      </c>
      <c r="M20" s="16" t="s">
        <v>515</v>
      </c>
    </row>
    <row r="21" customFormat="false" ht="45" hidden="false" customHeight="true" outlineLevel="0" collapsed="false">
      <c r="A21" s="2" t="s">
        <v>512</v>
      </c>
      <c r="B21" s="2" t="s">
        <v>92</v>
      </c>
      <c r="C21" s="2" t="s">
        <v>93</v>
      </c>
      <c r="D21" s="2" t="s">
        <v>516</v>
      </c>
      <c r="E21" s="2" t="s">
        <v>466</v>
      </c>
      <c r="F21" s="2" t="s">
        <v>466</v>
      </c>
      <c r="G21" s="2" t="s">
        <v>466</v>
      </c>
      <c r="H21" s="2" t="s">
        <v>466</v>
      </c>
      <c r="I21" s="2" t="s">
        <v>466</v>
      </c>
      <c r="J21" s="2" t="s">
        <v>467</v>
      </c>
      <c r="K21" s="2" t="s">
        <v>12</v>
      </c>
      <c r="L21" s="2" t="s">
        <v>517</v>
      </c>
      <c r="M21" s="14"/>
    </row>
    <row r="22" customFormat="false" ht="45" hidden="false" customHeight="true" outlineLevel="0" collapsed="false">
      <c r="A22" s="2" t="s">
        <v>512</v>
      </c>
      <c r="B22" s="2" t="s">
        <v>96</v>
      </c>
      <c r="C22" s="2" t="s">
        <v>16</v>
      </c>
      <c r="D22" s="2" t="s">
        <v>518</v>
      </c>
      <c r="E22" s="2" t="s">
        <v>466</v>
      </c>
      <c r="F22" s="2" t="s">
        <v>466</v>
      </c>
      <c r="G22" s="2" t="s">
        <v>466</v>
      </c>
      <c r="H22" s="2" t="s">
        <v>466</v>
      </c>
      <c r="I22" s="2" t="s">
        <v>466</v>
      </c>
      <c r="J22" s="2" t="s">
        <v>467</v>
      </c>
      <c r="K22" s="2" t="s">
        <v>12</v>
      </c>
      <c r="L22" s="2" t="s">
        <v>519</v>
      </c>
      <c r="M22" s="16" t="s">
        <v>520</v>
      </c>
    </row>
    <row r="23" customFormat="false" ht="45" hidden="false" customHeight="true" outlineLevel="0" collapsed="false">
      <c r="A23" s="2" t="s">
        <v>512</v>
      </c>
      <c r="B23" s="2" t="s">
        <v>99</v>
      </c>
      <c r="C23" s="2" t="s">
        <v>100</v>
      </c>
      <c r="D23" s="2" t="s">
        <v>521</v>
      </c>
      <c r="E23" s="2" t="s">
        <v>466</v>
      </c>
      <c r="F23" s="2" t="s">
        <v>466</v>
      </c>
      <c r="G23" s="2" t="s">
        <v>466</v>
      </c>
      <c r="H23" s="2" t="s">
        <v>466</v>
      </c>
      <c r="I23" s="2" t="s">
        <v>466</v>
      </c>
      <c r="J23" s="2" t="s">
        <v>467</v>
      </c>
      <c r="K23" s="2" t="s">
        <v>12</v>
      </c>
      <c r="L23" s="2" t="s">
        <v>522</v>
      </c>
      <c r="M23" s="14"/>
    </row>
    <row r="24" customFormat="false" ht="45" hidden="false" customHeight="true" outlineLevel="0" collapsed="false">
      <c r="A24" s="2" t="s">
        <v>512</v>
      </c>
      <c r="B24" s="2" t="s">
        <v>103</v>
      </c>
      <c r="C24" s="2" t="s">
        <v>16</v>
      </c>
      <c r="D24" s="2" t="s">
        <v>523</v>
      </c>
      <c r="E24" s="2" t="s">
        <v>466</v>
      </c>
      <c r="F24" s="2" t="s">
        <v>466</v>
      </c>
      <c r="G24" s="2" t="s">
        <v>466</v>
      </c>
      <c r="H24" s="2"/>
      <c r="I24" s="2" t="s">
        <v>466</v>
      </c>
      <c r="J24" s="2" t="s">
        <v>467</v>
      </c>
      <c r="K24" s="2" t="s">
        <v>12</v>
      </c>
      <c r="L24" s="2" t="s">
        <v>524</v>
      </c>
      <c r="M24" s="14"/>
    </row>
    <row r="25" customFormat="false" ht="45" hidden="false" customHeight="true" outlineLevel="0" collapsed="false">
      <c r="A25" s="2" t="s">
        <v>512</v>
      </c>
      <c r="B25" s="2" t="s">
        <v>107</v>
      </c>
      <c r="C25" s="2" t="s">
        <v>108</v>
      </c>
      <c r="D25" s="2" t="s">
        <v>525</v>
      </c>
      <c r="E25" s="2" t="s">
        <v>466</v>
      </c>
      <c r="F25" s="2" t="s">
        <v>466</v>
      </c>
      <c r="G25" s="2" t="s">
        <v>466</v>
      </c>
      <c r="H25" s="2"/>
      <c r="I25" s="2" t="s">
        <v>466</v>
      </c>
      <c r="J25" s="2" t="s">
        <v>467</v>
      </c>
      <c r="K25" s="2" t="s">
        <v>12</v>
      </c>
      <c r="L25" s="2" t="s">
        <v>526</v>
      </c>
      <c r="M25" s="14"/>
    </row>
    <row r="26" customFormat="false" ht="45" hidden="false" customHeight="true" outlineLevel="0" collapsed="false">
      <c r="A26" s="2" t="s">
        <v>512</v>
      </c>
      <c r="B26" s="2" t="s">
        <v>111</v>
      </c>
      <c r="C26" s="2" t="s">
        <v>16</v>
      </c>
      <c r="D26" s="2" t="s">
        <v>527</v>
      </c>
      <c r="E26" s="2" t="s">
        <v>466</v>
      </c>
      <c r="F26" s="2" t="s">
        <v>466</v>
      </c>
      <c r="G26" s="2" t="s">
        <v>466</v>
      </c>
      <c r="H26" s="2" t="s">
        <v>466</v>
      </c>
      <c r="I26" s="2" t="s">
        <v>466</v>
      </c>
      <c r="J26" s="2" t="s">
        <v>467</v>
      </c>
      <c r="K26" s="2" t="s">
        <v>12</v>
      </c>
      <c r="L26" s="2" t="s">
        <v>528</v>
      </c>
      <c r="M26" s="14"/>
    </row>
    <row r="27" customFormat="false" ht="45" hidden="false" customHeight="true" outlineLevel="0" collapsed="false">
      <c r="A27" s="2" t="s">
        <v>529</v>
      </c>
      <c r="B27" s="2" t="s">
        <v>115</v>
      </c>
      <c r="C27" s="2" t="s">
        <v>116</v>
      </c>
      <c r="D27" s="2" t="s">
        <v>530</v>
      </c>
      <c r="E27" s="2" t="s">
        <v>466</v>
      </c>
      <c r="F27" s="2" t="s">
        <v>466</v>
      </c>
      <c r="G27" s="2" t="s">
        <v>466</v>
      </c>
      <c r="H27" s="2" t="s">
        <v>466</v>
      </c>
      <c r="I27" s="2" t="s">
        <v>466</v>
      </c>
      <c r="J27" s="2" t="s">
        <v>467</v>
      </c>
      <c r="K27" s="2" t="s">
        <v>12</v>
      </c>
      <c r="L27" s="2" t="s">
        <v>531</v>
      </c>
      <c r="M27" s="16" t="s">
        <v>532</v>
      </c>
    </row>
    <row r="28" customFormat="false" ht="45" hidden="false" customHeight="true" outlineLevel="0" collapsed="false">
      <c r="A28" s="2" t="s">
        <v>529</v>
      </c>
      <c r="B28" s="2" t="s">
        <v>119</v>
      </c>
      <c r="C28" s="2" t="s">
        <v>16</v>
      </c>
      <c r="D28" s="2" t="s">
        <v>533</v>
      </c>
      <c r="E28" s="2"/>
      <c r="F28" s="2" t="s">
        <v>466</v>
      </c>
      <c r="G28" s="2"/>
      <c r="H28" s="2"/>
      <c r="I28" s="2" t="s">
        <v>466</v>
      </c>
      <c r="J28" s="2" t="s">
        <v>467</v>
      </c>
      <c r="K28" s="2" t="s">
        <v>12</v>
      </c>
      <c r="L28" s="2" t="s">
        <v>534</v>
      </c>
      <c r="M28" s="14"/>
    </row>
    <row r="29" customFormat="false" ht="45" hidden="false" customHeight="true" outlineLevel="0" collapsed="false">
      <c r="A29" s="2" t="s">
        <v>529</v>
      </c>
      <c r="B29" s="2" t="s">
        <v>122</v>
      </c>
      <c r="C29" s="2" t="s">
        <v>16</v>
      </c>
      <c r="D29" s="2" t="s">
        <v>535</v>
      </c>
      <c r="E29" s="2"/>
      <c r="F29" s="2" t="s">
        <v>466</v>
      </c>
      <c r="G29" s="2"/>
      <c r="H29" s="2"/>
      <c r="I29" s="2" t="s">
        <v>466</v>
      </c>
      <c r="J29" s="2" t="s">
        <v>467</v>
      </c>
      <c r="K29" s="2" t="s">
        <v>12</v>
      </c>
      <c r="L29" s="2"/>
      <c r="M29" s="14"/>
    </row>
    <row r="30" customFormat="false" ht="45" hidden="false" customHeight="true" outlineLevel="0" collapsed="false">
      <c r="A30" s="2" t="s">
        <v>529</v>
      </c>
      <c r="B30" s="2" t="s">
        <v>125</v>
      </c>
      <c r="C30" s="2" t="s">
        <v>16</v>
      </c>
      <c r="D30" s="2" t="s">
        <v>536</v>
      </c>
      <c r="E30" s="2" t="s">
        <v>466</v>
      </c>
      <c r="F30" s="2" t="s">
        <v>466</v>
      </c>
      <c r="G30" s="2" t="s">
        <v>466</v>
      </c>
      <c r="H30" s="2" t="s">
        <v>466</v>
      </c>
      <c r="I30" s="2" t="s">
        <v>466</v>
      </c>
      <c r="J30" s="2" t="s">
        <v>467</v>
      </c>
      <c r="K30" s="2" t="s">
        <v>12</v>
      </c>
      <c r="L30" s="2" t="s">
        <v>537</v>
      </c>
      <c r="M30" s="16" t="s">
        <v>538</v>
      </c>
    </row>
    <row r="31" customFormat="false" ht="45" hidden="false" customHeight="true" outlineLevel="0" collapsed="false">
      <c r="A31" s="2" t="s">
        <v>529</v>
      </c>
      <c r="B31" s="2" t="s">
        <v>128</v>
      </c>
      <c r="C31" s="2" t="s">
        <v>16</v>
      </c>
      <c r="D31" s="2" t="s">
        <v>539</v>
      </c>
      <c r="E31" s="2"/>
      <c r="F31" s="2" t="s">
        <v>466</v>
      </c>
      <c r="G31" s="2" t="s">
        <v>466</v>
      </c>
      <c r="H31" s="2"/>
      <c r="I31" s="2" t="s">
        <v>466</v>
      </c>
      <c r="J31" s="2" t="s">
        <v>467</v>
      </c>
      <c r="K31" s="2" t="s">
        <v>12</v>
      </c>
      <c r="L31" s="2" t="s">
        <v>540</v>
      </c>
      <c r="M31" s="14"/>
    </row>
    <row r="32" customFormat="false" ht="45" hidden="false" customHeight="true" outlineLevel="0" collapsed="false">
      <c r="A32" s="2" t="s">
        <v>529</v>
      </c>
      <c r="B32" s="2" t="s">
        <v>131</v>
      </c>
      <c r="C32" s="2" t="s">
        <v>16</v>
      </c>
      <c r="D32" s="2" t="s">
        <v>541</v>
      </c>
      <c r="E32" s="2"/>
      <c r="F32" s="2" t="s">
        <v>466</v>
      </c>
      <c r="G32" s="2" t="s">
        <v>466</v>
      </c>
      <c r="H32" s="2"/>
      <c r="I32" s="2" t="s">
        <v>466</v>
      </c>
      <c r="J32" s="2" t="s">
        <v>467</v>
      </c>
      <c r="K32" s="2" t="s">
        <v>12</v>
      </c>
      <c r="L32" s="2"/>
      <c r="M32" s="14"/>
    </row>
    <row r="33" customFormat="false" ht="45" hidden="false" customHeight="true" outlineLevel="0" collapsed="false">
      <c r="A33" s="2" t="s">
        <v>529</v>
      </c>
      <c r="B33" s="2" t="s">
        <v>134</v>
      </c>
      <c r="C33" s="2" t="s">
        <v>135</v>
      </c>
      <c r="D33" s="2" t="s">
        <v>542</v>
      </c>
      <c r="E33" s="2" t="s">
        <v>466</v>
      </c>
      <c r="F33" s="2" t="s">
        <v>466</v>
      </c>
      <c r="G33" s="2" t="s">
        <v>466</v>
      </c>
      <c r="H33" s="2"/>
      <c r="I33" s="2" t="s">
        <v>466</v>
      </c>
      <c r="J33" s="2" t="s">
        <v>467</v>
      </c>
      <c r="K33" s="2" t="s">
        <v>12</v>
      </c>
      <c r="L33" s="2"/>
      <c r="M33" s="14"/>
    </row>
    <row r="34" customFormat="false" ht="45" hidden="false" customHeight="true" outlineLevel="0" collapsed="false">
      <c r="A34" s="2" t="s">
        <v>543</v>
      </c>
      <c r="B34" s="2" t="s">
        <v>139</v>
      </c>
      <c r="C34" s="2" t="s">
        <v>16</v>
      </c>
      <c r="D34" s="2" t="s">
        <v>544</v>
      </c>
      <c r="E34" s="2" t="s">
        <v>466</v>
      </c>
      <c r="F34" s="2" t="s">
        <v>466</v>
      </c>
      <c r="G34" s="2" t="s">
        <v>466</v>
      </c>
      <c r="H34" s="2" t="s">
        <v>466</v>
      </c>
      <c r="I34" s="2" t="s">
        <v>466</v>
      </c>
      <c r="J34" s="2" t="s">
        <v>467</v>
      </c>
      <c r="K34" s="2" t="s">
        <v>12</v>
      </c>
      <c r="L34" s="2"/>
      <c r="M34" s="14"/>
    </row>
    <row r="35" customFormat="false" ht="45" hidden="false" customHeight="true" outlineLevel="0" collapsed="false">
      <c r="A35" s="2" t="s">
        <v>543</v>
      </c>
      <c r="B35" s="2" t="s">
        <v>142</v>
      </c>
      <c r="C35" s="2" t="s">
        <v>16</v>
      </c>
      <c r="D35" s="2" t="s">
        <v>545</v>
      </c>
      <c r="E35" s="2" t="s">
        <v>466</v>
      </c>
      <c r="F35" s="2" t="s">
        <v>466</v>
      </c>
      <c r="G35" s="2" t="s">
        <v>466</v>
      </c>
      <c r="H35" s="2"/>
      <c r="I35" s="2" t="s">
        <v>466</v>
      </c>
      <c r="J35" s="2" t="s">
        <v>467</v>
      </c>
      <c r="K35" s="2" t="s">
        <v>12</v>
      </c>
      <c r="L35" s="2"/>
      <c r="M35" s="14"/>
    </row>
    <row r="36" customFormat="false" ht="45" hidden="false" customHeight="true" outlineLevel="0" collapsed="false">
      <c r="A36" s="2" t="s">
        <v>543</v>
      </c>
      <c r="B36" s="2" t="s">
        <v>145</v>
      </c>
      <c r="C36" s="2" t="s">
        <v>16</v>
      </c>
      <c r="D36" s="2" t="s">
        <v>546</v>
      </c>
      <c r="E36" s="2"/>
      <c r="F36" s="2" t="s">
        <v>466</v>
      </c>
      <c r="G36" s="2"/>
      <c r="H36" s="2"/>
      <c r="I36" s="2" t="s">
        <v>466</v>
      </c>
      <c r="J36" s="2" t="s">
        <v>467</v>
      </c>
      <c r="K36" s="2" t="s">
        <v>12</v>
      </c>
      <c r="L36" s="2" t="s">
        <v>547</v>
      </c>
      <c r="M36" s="14"/>
    </row>
    <row r="37" customFormat="false" ht="45" hidden="false" customHeight="true" outlineLevel="0" collapsed="false">
      <c r="A37" s="2" t="s">
        <v>543</v>
      </c>
      <c r="B37" s="2" t="s">
        <v>548</v>
      </c>
      <c r="C37" s="2" t="s">
        <v>549</v>
      </c>
      <c r="D37" s="2" t="s">
        <v>550</v>
      </c>
      <c r="E37" s="2" t="s">
        <v>466</v>
      </c>
      <c r="F37" s="2" t="s">
        <v>466</v>
      </c>
      <c r="G37" s="2" t="s">
        <v>466</v>
      </c>
      <c r="H37" s="2" t="s">
        <v>466</v>
      </c>
      <c r="I37" s="2" t="s">
        <v>466</v>
      </c>
      <c r="J37" s="2" t="s">
        <v>467</v>
      </c>
      <c r="K37" s="2" t="s">
        <v>12</v>
      </c>
      <c r="L37" s="2" t="s">
        <v>551</v>
      </c>
      <c r="M37" s="14"/>
    </row>
    <row r="38" customFormat="false" ht="45" hidden="false" customHeight="true" outlineLevel="0" collapsed="false">
      <c r="A38" s="2" t="s">
        <v>543</v>
      </c>
      <c r="B38" s="2" t="s">
        <v>152</v>
      </c>
      <c r="C38" s="2" t="s">
        <v>552</v>
      </c>
      <c r="D38" s="2" t="s">
        <v>553</v>
      </c>
      <c r="E38" s="2" t="s">
        <v>466</v>
      </c>
      <c r="F38" s="2" t="s">
        <v>466</v>
      </c>
      <c r="G38" s="2" t="s">
        <v>466</v>
      </c>
      <c r="H38" s="2" t="s">
        <v>466</v>
      </c>
      <c r="I38" s="2" t="s">
        <v>466</v>
      </c>
      <c r="J38" s="2" t="s">
        <v>554</v>
      </c>
      <c r="K38" s="2" t="s">
        <v>76</v>
      </c>
      <c r="L38" s="2" t="s">
        <v>555</v>
      </c>
      <c r="M38" s="14"/>
    </row>
    <row r="39" customFormat="false" ht="45" hidden="false" customHeight="true" outlineLevel="0" collapsed="false">
      <c r="A39" s="2" t="s">
        <v>543</v>
      </c>
      <c r="B39" s="2" t="s">
        <v>156</v>
      </c>
      <c r="C39" s="2" t="s">
        <v>16</v>
      </c>
      <c r="D39" s="2" t="s">
        <v>556</v>
      </c>
      <c r="E39" s="2"/>
      <c r="F39" s="2" t="s">
        <v>466</v>
      </c>
      <c r="G39" s="2"/>
      <c r="H39" s="2"/>
      <c r="I39" s="2" t="s">
        <v>466</v>
      </c>
      <c r="J39" s="2" t="s">
        <v>467</v>
      </c>
      <c r="K39" s="2" t="s">
        <v>12</v>
      </c>
      <c r="L39" s="2"/>
      <c r="M39" s="14"/>
    </row>
    <row r="40" customFormat="false" ht="45" hidden="false" customHeight="true" outlineLevel="0" collapsed="false">
      <c r="A40" s="2" t="s">
        <v>543</v>
      </c>
      <c r="B40" s="2" t="s">
        <v>557</v>
      </c>
      <c r="C40" s="2" t="s">
        <v>160</v>
      </c>
      <c r="D40" s="2" t="s">
        <v>558</v>
      </c>
      <c r="E40" s="2"/>
      <c r="F40" s="2" t="s">
        <v>466</v>
      </c>
      <c r="G40" s="2"/>
      <c r="H40" s="2"/>
      <c r="I40" s="2" t="s">
        <v>466</v>
      </c>
      <c r="J40" s="2" t="s">
        <v>467</v>
      </c>
      <c r="K40" s="2" t="s">
        <v>12</v>
      </c>
      <c r="L40" s="2"/>
      <c r="M40" s="14"/>
    </row>
    <row r="41" customFormat="false" ht="45" hidden="false" customHeight="true" outlineLevel="0" collapsed="false">
      <c r="A41" s="2" t="s">
        <v>339</v>
      </c>
      <c r="B41" s="2" t="s">
        <v>164</v>
      </c>
      <c r="C41" s="2" t="s">
        <v>10</v>
      </c>
      <c r="D41" s="2" t="s">
        <v>559</v>
      </c>
      <c r="E41" s="2" t="s">
        <v>466</v>
      </c>
      <c r="F41" s="2" t="s">
        <v>466</v>
      </c>
      <c r="G41" s="2" t="s">
        <v>466</v>
      </c>
      <c r="H41" s="2" t="s">
        <v>466</v>
      </c>
      <c r="I41" s="2" t="s">
        <v>466</v>
      </c>
      <c r="J41" s="17" t="s">
        <v>507</v>
      </c>
      <c r="K41" s="2" t="s">
        <v>12</v>
      </c>
      <c r="L41" s="17" t="s">
        <v>560</v>
      </c>
      <c r="M41" s="18" t="s">
        <v>561</v>
      </c>
    </row>
    <row r="42" customFormat="false" ht="45" hidden="false" customHeight="true" outlineLevel="0" collapsed="false">
      <c r="A42" s="2" t="s">
        <v>339</v>
      </c>
      <c r="B42" s="2" t="s">
        <v>562</v>
      </c>
      <c r="C42" s="2" t="s">
        <v>168</v>
      </c>
      <c r="D42" s="2" t="s">
        <v>563</v>
      </c>
      <c r="E42" s="2"/>
      <c r="F42" s="2" t="s">
        <v>466</v>
      </c>
      <c r="G42" s="2" t="s">
        <v>466</v>
      </c>
      <c r="H42" s="2" t="s">
        <v>466</v>
      </c>
      <c r="I42" s="2" t="s">
        <v>466</v>
      </c>
      <c r="J42" s="2" t="s">
        <v>488</v>
      </c>
      <c r="K42" s="2" t="s">
        <v>11</v>
      </c>
      <c r="L42" s="2" t="s">
        <v>564</v>
      </c>
      <c r="M42" s="14"/>
    </row>
    <row r="43" customFormat="false" ht="45" hidden="false" customHeight="true" outlineLevel="0" collapsed="false">
      <c r="A43" s="2" t="s">
        <v>339</v>
      </c>
      <c r="B43" s="2" t="s">
        <v>565</v>
      </c>
      <c r="C43" s="2" t="s">
        <v>173</v>
      </c>
      <c r="D43" s="2" t="s">
        <v>566</v>
      </c>
      <c r="E43" s="2"/>
      <c r="F43" s="2" t="s">
        <v>466</v>
      </c>
      <c r="G43" s="2" t="s">
        <v>466</v>
      </c>
      <c r="H43" s="2" t="s">
        <v>466</v>
      </c>
      <c r="I43" s="2" t="s">
        <v>466</v>
      </c>
      <c r="J43" s="2" t="s">
        <v>488</v>
      </c>
      <c r="K43" s="2" t="s">
        <v>11</v>
      </c>
      <c r="L43" s="2" t="s">
        <v>567</v>
      </c>
      <c r="M43" s="14"/>
    </row>
    <row r="44" customFormat="false" ht="45" hidden="false" customHeight="true" outlineLevel="0" collapsed="false">
      <c r="A44" s="2" t="s">
        <v>339</v>
      </c>
      <c r="B44" s="2" t="s">
        <v>177</v>
      </c>
      <c r="C44" s="2" t="s">
        <v>568</v>
      </c>
      <c r="D44" s="2" t="s">
        <v>569</v>
      </c>
      <c r="E44" s="2" t="s">
        <v>466</v>
      </c>
      <c r="F44" s="2" t="s">
        <v>466</v>
      </c>
      <c r="G44" s="2" t="s">
        <v>466</v>
      </c>
      <c r="H44" s="2"/>
      <c r="I44" s="2" t="s">
        <v>466</v>
      </c>
      <c r="J44" s="2" t="s">
        <v>570</v>
      </c>
      <c r="K44" s="2" t="s">
        <v>12</v>
      </c>
      <c r="L44" s="2"/>
      <c r="M44" s="14"/>
    </row>
    <row r="45" customFormat="false" ht="45" hidden="false" customHeight="true" outlineLevel="0" collapsed="false">
      <c r="A45" s="2" t="s">
        <v>571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</row>
    <row r="46" customFormat="false" ht="45" hidden="false" customHeight="true" outlineLevel="0" collapsed="false">
      <c r="A46" s="2" t="s">
        <v>571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</row>
    <row r="47" customFormat="false" ht="45" hidden="false" customHeight="true" outlineLevel="0" collapsed="false">
      <c r="A47" s="2" t="s">
        <v>571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</row>
    <row r="48" customFormat="false" ht="45" hidden="false" customHeight="true" outlineLevel="0" collapsed="false">
      <c r="A48" s="2" t="s">
        <v>571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</row>
    <row r="49" customFormat="false" ht="45" hidden="false" customHeight="true" outlineLevel="0" collapsed="false">
      <c r="A49" s="2" t="s">
        <v>571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</row>
    <row r="50" customFormat="false" ht="45" hidden="false" customHeight="true" outlineLevel="0" collapsed="false">
      <c r="A50" s="2" t="s">
        <v>571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 t="s">
        <v>572</v>
      </c>
      <c r="M50" s="14"/>
    </row>
    <row r="51" customFormat="false" ht="45" hidden="false" customHeight="true" outlineLevel="0" collapsed="false">
      <c r="A51" s="2" t="s">
        <v>573</v>
      </c>
      <c r="B51" s="2" t="s">
        <v>194</v>
      </c>
      <c r="C51" s="2" t="s">
        <v>10</v>
      </c>
      <c r="D51" s="2" t="s">
        <v>574</v>
      </c>
      <c r="E51" s="2" t="s">
        <v>466</v>
      </c>
      <c r="F51" s="2" t="s">
        <v>466</v>
      </c>
      <c r="G51" s="2"/>
      <c r="H51" s="2"/>
      <c r="I51" s="2"/>
      <c r="J51" s="2" t="s">
        <v>467</v>
      </c>
      <c r="K51" s="2" t="s">
        <v>12</v>
      </c>
      <c r="L51" s="2"/>
      <c r="M51" s="14"/>
    </row>
    <row r="52" customFormat="false" ht="45" hidden="false" customHeight="true" outlineLevel="0" collapsed="false">
      <c r="A52" s="2" t="s">
        <v>573</v>
      </c>
      <c r="B52" s="2" t="s">
        <v>197</v>
      </c>
      <c r="C52" s="2" t="s">
        <v>10</v>
      </c>
      <c r="D52" s="2" t="s">
        <v>575</v>
      </c>
      <c r="E52" s="2" t="s">
        <v>466</v>
      </c>
      <c r="F52" s="2" t="s">
        <v>466</v>
      </c>
      <c r="G52" s="2"/>
      <c r="H52" s="2"/>
      <c r="I52" s="2"/>
      <c r="J52" s="2" t="s">
        <v>467</v>
      </c>
      <c r="K52" s="2" t="s">
        <v>12</v>
      </c>
      <c r="L52" s="2" t="s">
        <v>576</v>
      </c>
      <c r="M52" s="14"/>
    </row>
    <row r="53" customFormat="false" ht="45" hidden="false" customHeight="true" outlineLevel="0" collapsed="false">
      <c r="A53" s="2" t="s">
        <v>573</v>
      </c>
      <c r="B53" s="2" t="s">
        <v>200</v>
      </c>
      <c r="C53" s="2" t="s">
        <v>16</v>
      </c>
      <c r="D53" s="2" t="s">
        <v>577</v>
      </c>
      <c r="E53" s="2" t="s">
        <v>466</v>
      </c>
      <c r="F53" s="2" t="s">
        <v>466</v>
      </c>
      <c r="G53" s="2" t="s">
        <v>466</v>
      </c>
      <c r="H53" s="2"/>
      <c r="I53" s="2" t="s">
        <v>466</v>
      </c>
      <c r="J53" s="2" t="s">
        <v>467</v>
      </c>
      <c r="K53" s="2" t="s">
        <v>12</v>
      </c>
      <c r="L53" s="2"/>
      <c r="M53" s="14"/>
    </row>
    <row r="54" customFormat="false" ht="45" hidden="false" customHeight="true" outlineLevel="0" collapsed="false">
      <c r="A54" s="2" t="s">
        <v>573</v>
      </c>
      <c r="B54" s="2" t="s">
        <v>203</v>
      </c>
      <c r="C54" s="2" t="s">
        <v>204</v>
      </c>
      <c r="D54" s="2" t="s">
        <v>578</v>
      </c>
      <c r="E54" s="2" t="s">
        <v>466</v>
      </c>
      <c r="F54" s="2" t="s">
        <v>466</v>
      </c>
      <c r="G54" s="2" t="s">
        <v>466</v>
      </c>
      <c r="H54" s="2"/>
      <c r="I54" s="2" t="s">
        <v>466</v>
      </c>
      <c r="J54" s="2" t="s">
        <v>467</v>
      </c>
      <c r="K54" s="2" t="s">
        <v>12</v>
      </c>
      <c r="L54" s="2"/>
      <c r="M54" s="14"/>
    </row>
    <row r="55" customFormat="false" ht="45" hidden="false" customHeight="true" outlineLevel="0" collapsed="false">
      <c r="A55" s="2" t="s">
        <v>573</v>
      </c>
      <c r="B55" s="2" t="s">
        <v>207</v>
      </c>
      <c r="C55" s="2" t="s">
        <v>491</v>
      </c>
      <c r="D55" s="2" t="s">
        <v>579</v>
      </c>
      <c r="E55" s="2" t="s">
        <v>466</v>
      </c>
      <c r="F55" s="2" t="s">
        <v>466</v>
      </c>
      <c r="G55" s="2" t="s">
        <v>466</v>
      </c>
      <c r="H55" s="2" t="s">
        <v>466</v>
      </c>
      <c r="I55" s="2" t="s">
        <v>466</v>
      </c>
      <c r="J55" s="2" t="s">
        <v>493</v>
      </c>
      <c r="K55" s="2" t="s">
        <v>494</v>
      </c>
      <c r="L55" s="2" t="s">
        <v>580</v>
      </c>
      <c r="M55" s="14"/>
    </row>
    <row r="56" customFormat="false" ht="45" hidden="false" customHeight="true" outlineLevel="0" collapsed="false">
      <c r="A56" s="2" t="s">
        <v>573</v>
      </c>
      <c r="B56" s="2" t="s">
        <v>581</v>
      </c>
      <c r="C56" s="2" t="s">
        <v>491</v>
      </c>
      <c r="D56" s="2" t="s">
        <v>582</v>
      </c>
      <c r="E56" s="2" t="s">
        <v>466</v>
      </c>
      <c r="F56" s="2" t="s">
        <v>466</v>
      </c>
      <c r="G56" s="2" t="s">
        <v>466</v>
      </c>
      <c r="H56" s="2" t="s">
        <v>466</v>
      </c>
      <c r="I56" s="2" t="s">
        <v>466</v>
      </c>
      <c r="J56" s="2" t="s">
        <v>493</v>
      </c>
      <c r="K56" s="2" t="s">
        <v>494</v>
      </c>
      <c r="L56" s="2" t="s">
        <v>580</v>
      </c>
      <c r="M56" s="14"/>
    </row>
    <row r="57" customFormat="false" ht="45" hidden="false" customHeight="true" outlineLevel="0" collapsed="false">
      <c r="A57" s="2" t="s">
        <v>573</v>
      </c>
      <c r="B57" s="2" t="s">
        <v>583</v>
      </c>
      <c r="C57" s="2" t="s">
        <v>491</v>
      </c>
      <c r="D57" s="2" t="s">
        <v>584</v>
      </c>
      <c r="E57" s="2" t="s">
        <v>466</v>
      </c>
      <c r="F57" s="2" t="s">
        <v>466</v>
      </c>
      <c r="G57" s="2" t="s">
        <v>466</v>
      </c>
      <c r="H57" s="2" t="s">
        <v>466</v>
      </c>
      <c r="I57" s="2" t="s">
        <v>466</v>
      </c>
      <c r="J57" s="2" t="s">
        <v>493</v>
      </c>
      <c r="K57" s="2" t="s">
        <v>494</v>
      </c>
      <c r="L57" s="2" t="s">
        <v>580</v>
      </c>
      <c r="M57" s="14"/>
    </row>
    <row r="58" customFormat="false" ht="45" hidden="false" customHeight="true" outlineLevel="0" collapsed="false">
      <c r="A58" s="2" t="s">
        <v>585</v>
      </c>
      <c r="B58" s="2" t="s">
        <v>246</v>
      </c>
      <c r="C58" s="2" t="s">
        <v>247</v>
      </c>
      <c r="D58" s="2" t="s">
        <v>586</v>
      </c>
      <c r="E58" s="2"/>
      <c r="F58" s="2" t="s">
        <v>466</v>
      </c>
      <c r="G58" s="2" t="s">
        <v>466</v>
      </c>
      <c r="H58" s="2"/>
      <c r="I58" s="2" t="s">
        <v>466</v>
      </c>
      <c r="J58" s="2" t="s">
        <v>467</v>
      </c>
      <c r="K58" s="2" t="s">
        <v>12</v>
      </c>
      <c r="L58" s="2" t="s">
        <v>587</v>
      </c>
      <c r="M58" s="15" t="s">
        <v>588</v>
      </c>
    </row>
    <row r="59" customFormat="false" ht="45" hidden="false" customHeight="true" outlineLevel="0" collapsed="false">
      <c r="A59" s="2" t="s">
        <v>585</v>
      </c>
      <c r="B59" s="2" t="s">
        <v>250</v>
      </c>
      <c r="C59" s="2" t="s">
        <v>251</v>
      </c>
      <c r="D59" s="2" t="s">
        <v>589</v>
      </c>
      <c r="E59" s="2"/>
      <c r="F59" s="2" t="s">
        <v>466</v>
      </c>
      <c r="G59" s="2" t="s">
        <v>466</v>
      </c>
      <c r="H59" s="2"/>
      <c r="I59" s="2" t="s">
        <v>466</v>
      </c>
      <c r="J59" s="2" t="s">
        <v>467</v>
      </c>
      <c r="K59" s="2" t="s">
        <v>12</v>
      </c>
      <c r="L59" s="2"/>
      <c r="M59" s="14"/>
    </row>
    <row r="60" customFormat="false" ht="45" hidden="false" customHeight="true" outlineLevel="0" collapsed="false">
      <c r="A60" s="2" t="s">
        <v>590</v>
      </c>
      <c r="B60" s="2" t="s">
        <v>591</v>
      </c>
      <c r="C60" s="2" t="s">
        <v>16</v>
      </c>
      <c r="D60" s="2" t="s">
        <v>592</v>
      </c>
      <c r="E60" s="2" t="s">
        <v>466</v>
      </c>
      <c r="F60" s="2" t="s">
        <v>466</v>
      </c>
      <c r="G60" s="2" t="s">
        <v>466</v>
      </c>
      <c r="H60" s="2" t="s">
        <v>466</v>
      </c>
      <c r="I60" s="2" t="s">
        <v>466</v>
      </c>
      <c r="J60" s="2" t="s">
        <v>467</v>
      </c>
      <c r="K60" s="2" t="s">
        <v>12</v>
      </c>
      <c r="L60" s="2"/>
      <c r="M60" s="14"/>
    </row>
    <row r="61" customFormat="false" ht="45" hidden="false" customHeight="true" outlineLevel="0" collapsed="false">
      <c r="A61" s="2" t="s">
        <v>590</v>
      </c>
      <c r="B61" s="2" t="s">
        <v>593</v>
      </c>
      <c r="C61" s="2" t="s">
        <v>225</v>
      </c>
      <c r="D61" s="2" t="s">
        <v>594</v>
      </c>
      <c r="E61" s="2" t="s">
        <v>466</v>
      </c>
      <c r="F61" s="2" t="s">
        <v>466</v>
      </c>
      <c r="G61" s="2" t="s">
        <v>466</v>
      </c>
      <c r="H61" s="2" t="s">
        <v>466</v>
      </c>
      <c r="I61" s="2" t="s">
        <v>466</v>
      </c>
      <c r="J61" s="2" t="s">
        <v>388</v>
      </c>
      <c r="K61" s="2" t="s">
        <v>76</v>
      </c>
      <c r="L61" s="2"/>
      <c r="M61" s="16" t="s">
        <v>595</v>
      </c>
    </row>
    <row r="62" customFormat="false" ht="45" hidden="false" customHeight="true" outlineLevel="0" collapsed="false">
      <c r="A62" s="2" t="s">
        <v>596</v>
      </c>
      <c r="B62" s="2" t="s">
        <v>597</v>
      </c>
      <c r="C62" s="2" t="s">
        <v>225</v>
      </c>
      <c r="D62" s="2" t="s">
        <v>598</v>
      </c>
      <c r="E62" s="2" t="s">
        <v>466</v>
      </c>
      <c r="F62" s="2" t="s">
        <v>466</v>
      </c>
      <c r="G62" s="2" t="s">
        <v>466</v>
      </c>
      <c r="H62" s="2" t="s">
        <v>466</v>
      </c>
      <c r="I62" s="2" t="s">
        <v>466</v>
      </c>
      <c r="J62" s="2" t="s">
        <v>388</v>
      </c>
      <c r="K62" s="2" t="s">
        <v>76</v>
      </c>
      <c r="L62" s="2" t="s">
        <v>599</v>
      </c>
      <c r="M62" s="16" t="s">
        <v>595</v>
      </c>
    </row>
    <row r="63" customFormat="false" ht="45" hidden="false" customHeight="true" outlineLevel="0" collapsed="false">
      <c r="A63" s="2" t="s">
        <v>596</v>
      </c>
      <c r="B63" s="2" t="s">
        <v>600</v>
      </c>
      <c r="C63" s="2" t="s">
        <v>225</v>
      </c>
      <c r="D63" s="2" t="s">
        <v>601</v>
      </c>
      <c r="E63" s="2" t="s">
        <v>466</v>
      </c>
      <c r="F63" s="2" t="s">
        <v>466</v>
      </c>
      <c r="G63" s="2" t="s">
        <v>466</v>
      </c>
      <c r="H63" s="2" t="s">
        <v>466</v>
      </c>
      <c r="I63" s="2" t="s">
        <v>466</v>
      </c>
      <c r="J63" s="2" t="s">
        <v>388</v>
      </c>
      <c r="K63" s="2" t="s">
        <v>76</v>
      </c>
      <c r="L63" s="2"/>
      <c r="M63" s="16" t="s">
        <v>595</v>
      </c>
    </row>
    <row r="64" customFormat="false" ht="45" hidden="false" customHeight="true" outlineLevel="0" collapsed="false">
      <c r="A64" s="2" t="s">
        <v>596</v>
      </c>
      <c r="B64" s="2" t="s">
        <v>602</v>
      </c>
      <c r="C64" s="2" t="s">
        <v>225</v>
      </c>
      <c r="D64" s="2" t="s">
        <v>603</v>
      </c>
      <c r="E64" s="2" t="s">
        <v>466</v>
      </c>
      <c r="F64" s="2" t="s">
        <v>466</v>
      </c>
      <c r="G64" s="2" t="s">
        <v>466</v>
      </c>
      <c r="H64" s="2" t="s">
        <v>466</v>
      </c>
      <c r="I64" s="2" t="s">
        <v>466</v>
      </c>
      <c r="J64" s="2" t="s">
        <v>388</v>
      </c>
      <c r="K64" s="2" t="s">
        <v>76</v>
      </c>
      <c r="L64" s="2"/>
      <c r="M64" s="14"/>
    </row>
    <row r="65" customFormat="false" ht="21.75" hidden="false" customHeight="true" outlineLevel="0" collapsed="false">
      <c r="A65" s="2" t="s">
        <v>596</v>
      </c>
      <c r="B65" s="2" t="s">
        <v>604</v>
      </c>
      <c r="C65" s="2" t="s">
        <v>225</v>
      </c>
      <c r="D65" s="2" t="s">
        <v>605</v>
      </c>
      <c r="E65" s="2" t="s">
        <v>466</v>
      </c>
      <c r="F65" s="2" t="s">
        <v>466</v>
      </c>
      <c r="G65" s="2" t="s">
        <v>466</v>
      </c>
      <c r="H65" s="2" t="s">
        <v>466</v>
      </c>
      <c r="I65" s="2" t="s">
        <v>466</v>
      </c>
      <c r="J65" s="2" t="s">
        <v>388</v>
      </c>
      <c r="K65" s="2" t="s">
        <v>76</v>
      </c>
      <c r="L65" s="2"/>
      <c r="M65" s="14"/>
    </row>
    <row r="66" customFormat="false" ht="21.75" hidden="false" customHeight="true" outlineLevel="0" collapsed="false">
      <c r="A66" s="2" t="s">
        <v>596</v>
      </c>
      <c r="B66" s="2" t="s">
        <v>606</v>
      </c>
      <c r="C66" s="2" t="s">
        <v>225</v>
      </c>
      <c r="D66" s="2" t="s">
        <v>607</v>
      </c>
      <c r="E66" s="2" t="s">
        <v>466</v>
      </c>
      <c r="F66" s="2" t="s">
        <v>466</v>
      </c>
      <c r="G66" s="2" t="s">
        <v>466</v>
      </c>
      <c r="H66" s="2" t="s">
        <v>466</v>
      </c>
      <c r="I66" s="2" t="s">
        <v>466</v>
      </c>
      <c r="J66" s="2" t="s">
        <v>388</v>
      </c>
      <c r="K66" s="2" t="s">
        <v>76</v>
      </c>
      <c r="L66" s="2" t="s">
        <v>608</v>
      </c>
      <c r="M66" s="15" t="s">
        <v>609</v>
      </c>
    </row>
    <row r="67" customFormat="false" ht="15" hidden="false" customHeight="true" outlineLevel="0" collapsed="false">
      <c r="A67" s="2" t="s">
        <v>596</v>
      </c>
      <c r="B67" s="2"/>
      <c r="C67" s="2"/>
      <c r="D67" s="2"/>
      <c r="E67" s="2"/>
      <c r="F67" s="2" t="s">
        <v>466</v>
      </c>
      <c r="G67" s="2" t="s">
        <v>466</v>
      </c>
      <c r="H67" s="2" t="s">
        <v>466</v>
      </c>
      <c r="I67" s="2" t="s">
        <v>466</v>
      </c>
      <c r="J67" s="2" t="s">
        <v>388</v>
      </c>
      <c r="K67" s="2" t="s">
        <v>76</v>
      </c>
      <c r="L67" s="2" t="s">
        <v>610</v>
      </c>
      <c r="M67" s="16" t="s">
        <v>595</v>
      </c>
    </row>
    <row r="68" customFormat="false" ht="39.75" hidden="false" customHeight="true" outlineLevel="0" collapsed="false"/>
    <row r="69" customFormat="false" ht="39.75" hidden="false" customHeight="true" outlineLevel="0" collapsed="false"/>
    <row r="70" customFormat="false" ht="39.75" hidden="false" customHeight="true" outlineLevel="0" collapsed="false">
      <c r="A70" s="19" t="s">
        <v>611</v>
      </c>
      <c r="B70" s="20"/>
      <c r="C70" s="20"/>
      <c r="D70" s="20"/>
      <c r="E70" s="21"/>
      <c r="F70" s="19"/>
      <c r="G70" s="19"/>
      <c r="H70" s="19"/>
      <c r="I70" s="19"/>
      <c r="J70" s="19"/>
      <c r="K70" s="19"/>
      <c r="L70" s="19"/>
    </row>
    <row r="71" customFormat="false" ht="39.75" hidden="false" customHeight="true" outlineLevel="0" collapsed="false">
      <c r="A71" s="2" t="s">
        <v>612</v>
      </c>
      <c r="B71" s="2" t="s">
        <v>264</v>
      </c>
      <c r="C71" s="2" t="s">
        <v>16</v>
      </c>
      <c r="D71" s="2" t="s">
        <v>613</v>
      </c>
      <c r="E71" s="2" t="s">
        <v>466</v>
      </c>
      <c r="F71" s="2" t="s">
        <v>466</v>
      </c>
      <c r="G71" s="2" t="s">
        <v>466</v>
      </c>
      <c r="H71" s="2"/>
      <c r="I71" s="2" t="s">
        <v>466</v>
      </c>
      <c r="J71" s="2" t="s">
        <v>467</v>
      </c>
      <c r="K71" s="2" t="s">
        <v>12</v>
      </c>
      <c r="L71" s="2"/>
      <c r="M71" s="14"/>
    </row>
    <row r="72" customFormat="false" ht="39.75" hidden="false" customHeight="true" outlineLevel="0" collapsed="false">
      <c r="A72" s="2" t="s">
        <v>612</v>
      </c>
      <c r="B72" s="2" t="s">
        <v>267</v>
      </c>
      <c r="C72" s="2" t="s">
        <v>16</v>
      </c>
      <c r="D72" s="2" t="s">
        <v>614</v>
      </c>
      <c r="E72" s="2" t="s">
        <v>466</v>
      </c>
      <c r="F72" s="2" t="s">
        <v>466</v>
      </c>
      <c r="G72" s="2" t="s">
        <v>466</v>
      </c>
      <c r="H72" s="2"/>
      <c r="I72" s="2" t="s">
        <v>466</v>
      </c>
      <c r="J72" s="2" t="s">
        <v>467</v>
      </c>
      <c r="K72" s="2" t="s">
        <v>12</v>
      </c>
      <c r="L72" s="2"/>
      <c r="M72" s="14"/>
    </row>
    <row r="73" customFormat="false" ht="39.75" hidden="false" customHeight="true" outlineLevel="0" collapsed="false">
      <c r="A73" s="2" t="s">
        <v>612</v>
      </c>
      <c r="B73" s="2" t="s">
        <v>270</v>
      </c>
      <c r="C73" s="2" t="s">
        <v>16</v>
      </c>
      <c r="D73" s="2" t="s">
        <v>615</v>
      </c>
      <c r="E73" s="2" t="s">
        <v>466</v>
      </c>
      <c r="F73" s="2" t="s">
        <v>466</v>
      </c>
      <c r="G73" s="2"/>
      <c r="H73" s="2"/>
      <c r="I73" s="2" t="s">
        <v>466</v>
      </c>
      <c r="J73" s="2" t="s">
        <v>467</v>
      </c>
      <c r="K73" s="2" t="s">
        <v>12</v>
      </c>
      <c r="L73" s="2" t="s">
        <v>616</v>
      </c>
      <c r="M73" s="14"/>
    </row>
    <row r="74" customFormat="false" ht="15" hidden="false" customHeight="true" outlineLevel="0" collapsed="false">
      <c r="A74" s="2" t="s">
        <v>612</v>
      </c>
      <c r="B74" s="2" t="s">
        <v>273</v>
      </c>
      <c r="C74" s="2" t="s">
        <v>10</v>
      </c>
      <c r="D74" s="2" t="s">
        <v>617</v>
      </c>
      <c r="E74" s="2" t="s">
        <v>466</v>
      </c>
      <c r="F74" s="2" t="s">
        <v>466</v>
      </c>
      <c r="G74" s="2"/>
      <c r="H74" s="2"/>
      <c r="I74" s="2"/>
      <c r="J74" s="2" t="s">
        <v>467</v>
      </c>
      <c r="K74" s="2" t="s">
        <v>12</v>
      </c>
      <c r="L74" s="2"/>
      <c r="M74" s="14"/>
    </row>
    <row r="75" customFormat="false" ht="39.75" hidden="false" customHeight="true" outlineLevel="0" collapsed="false">
      <c r="A75" s="2" t="s">
        <v>612</v>
      </c>
      <c r="B75" s="2" t="s">
        <v>276</v>
      </c>
      <c r="C75" s="2" t="s">
        <v>16</v>
      </c>
      <c r="D75" s="2" t="s">
        <v>618</v>
      </c>
      <c r="E75" s="2"/>
      <c r="F75" s="2" t="s">
        <v>466</v>
      </c>
      <c r="G75" s="2" t="s">
        <v>466</v>
      </c>
      <c r="H75" s="2"/>
      <c r="I75" s="2" t="s">
        <v>466</v>
      </c>
      <c r="J75" s="2" t="s">
        <v>467</v>
      </c>
      <c r="K75" s="2" t="s">
        <v>12</v>
      </c>
      <c r="L75" s="2"/>
      <c r="M75" s="14"/>
    </row>
    <row r="76" customFormat="false" ht="39.75" hidden="false" customHeight="true" outlineLevel="0" collapsed="false">
      <c r="A76" s="2" t="s">
        <v>612</v>
      </c>
      <c r="B76" s="2" t="s">
        <v>279</v>
      </c>
      <c r="C76" s="2" t="s">
        <v>10</v>
      </c>
      <c r="D76" s="2" t="s">
        <v>619</v>
      </c>
      <c r="E76" s="2" t="s">
        <v>466</v>
      </c>
      <c r="F76" s="2" t="s">
        <v>466</v>
      </c>
      <c r="G76" s="2"/>
      <c r="H76" s="2"/>
      <c r="I76" s="2"/>
      <c r="J76" s="2" t="s">
        <v>467</v>
      </c>
      <c r="K76" s="2" t="s">
        <v>12</v>
      </c>
      <c r="L76" s="2" t="s">
        <v>620</v>
      </c>
      <c r="M76" s="14"/>
    </row>
    <row r="77" customFormat="false" ht="39.75" hidden="false" customHeight="true" outlineLevel="0" collapsed="false">
      <c r="A77" s="19" t="s">
        <v>621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customFormat="false" ht="39.75" hidden="false" customHeight="true" outlineLevel="0" collapsed="false">
      <c r="A78" s="2" t="s">
        <v>622</v>
      </c>
      <c r="B78" s="2" t="s">
        <v>283</v>
      </c>
      <c r="C78" s="2" t="s">
        <v>16</v>
      </c>
      <c r="D78" s="2" t="s">
        <v>623</v>
      </c>
      <c r="E78" s="2" t="s">
        <v>466</v>
      </c>
      <c r="F78" s="2" t="s">
        <v>466</v>
      </c>
      <c r="G78" s="2"/>
      <c r="H78" s="2"/>
      <c r="I78" s="2" t="s">
        <v>466</v>
      </c>
      <c r="J78" s="2" t="s">
        <v>467</v>
      </c>
      <c r="K78" s="2" t="s">
        <v>12</v>
      </c>
      <c r="L78" s="2" t="s">
        <v>624</v>
      </c>
      <c r="M78" s="14"/>
    </row>
    <row r="79" customFormat="false" ht="39.75" hidden="false" customHeight="true" outlineLevel="0" collapsed="false">
      <c r="A79" s="2" t="s">
        <v>622</v>
      </c>
      <c r="B79" s="2" t="s">
        <v>286</v>
      </c>
      <c r="C79" s="2" t="s">
        <v>16</v>
      </c>
      <c r="D79" s="2" t="s">
        <v>625</v>
      </c>
      <c r="E79" s="2" t="s">
        <v>466</v>
      </c>
      <c r="F79" s="2" t="s">
        <v>466</v>
      </c>
      <c r="G79" s="2"/>
      <c r="H79" s="2"/>
      <c r="I79" s="2" t="s">
        <v>466</v>
      </c>
      <c r="J79" s="2" t="s">
        <v>467</v>
      </c>
      <c r="K79" s="2" t="s">
        <v>12</v>
      </c>
      <c r="L79" s="2" t="s">
        <v>626</v>
      </c>
      <c r="M79" s="14"/>
    </row>
    <row r="80" customFormat="false" ht="39.75" hidden="false" customHeight="true" outlineLevel="0" collapsed="false">
      <c r="A80" s="2" t="s">
        <v>622</v>
      </c>
      <c r="B80" s="2" t="s">
        <v>289</v>
      </c>
      <c r="C80" s="2" t="s">
        <v>16</v>
      </c>
      <c r="D80" s="2" t="s">
        <v>627</v>
      </c>
      <c r="E80" s="2" t="s">
        <v>466</v>
      </c>
      <c r="F80" s="2" t="s">
        <v>466</v>
      </c>
      <c r="G80" s="2"/>
      <c r="H80" s="2"/>
      <c r="I80" s="2" t="s">
        <v>466</v>
      </c>
      <c r="J80" s="2" t="s">
        <v>467</v>
      </c>
      <c r="K80" s="2" t="s">
        <v>12</v>
      </c>
      <c r="L80" s="2" t="s">
        <v>628</v>
      </c>
      <c r="M80" s="14"/>
    </row>
    <row r="81" customFormat="false" ht="39.75" hidden="false" customHeight="true" outlineLevel="0" collapsed="false">
      <c r="A81" s="2" t="s">
        <v>622</v>
      </c>
      <c r="B81" s="2" t="s">
        <v>292</v>
      </c>
      <c r="C81" s="2" t="s">
        <v>16</v>
      </c>
      <c r="D81" s="2" t="s">
        <v>629</v>
      </c>
      <c r="E81" s="2" t="s">
        <v>466</v>
      </c>
      <c r="F81" s="2" t="s">
        <v>466</v>
      </c>
      <c r="G81" s="2" t="s">
        <v>466</v>
      </c>
      <c r="H81" s="2" t="s">
        <v>466</v>
      </c>
      <c r="I81" s="2" t="s">
        <v>466</v>
      </c>
      <c r="J81" s="2" t="s">
        <v>467</v>
      </c>
      <c r="K81" s="2" t="s">
        <v>12</v>
      </c>
      <c r="L81" s="2" t="s">
        <v>630</v>
      </c>
      <c r="M81" s="14"/>
    </row>
    <row r="82" customFormat="false" ht="15" hidden="false" customHeight="true" outlineLevel="0" collapsed="false">
      <c r="A82" s="2" t="s">
        <v>622</v>
      </c>
      <c r="B82" s="2" t="s">
        <v>631</v>
      </c>
      <c r="C82" s="2" t="s">
        <v>16</v>
      </c>
      <c r="D82" s="2" t="s">
        <v>632</v>
      </c>
      <c r="E82" s="2" t="s">
        <v>466</v>
      </c>
      <c r="F82" s="2" t="s">
        <v>466</v>
      </c>
      <c r="G82" s="2"/>
      <c r="H82" s="2"/>
      <c r="I82" s="2" t="s">
        <v>466</v>
      </c>
      <c r="J82" s="2" t="s">
        <v>467</v>
      </c>
      <c r="K82" s="2" t="s">
        <v>12</v>
      </c>
      <c r="L82" s="2"/>
      <c r="M82" s="14"/>
    </row>
    <row r="83" customFormat="false" ht="45" hidden="false" customHeight="true" outlineLevel="0" collapsed="false">
      <c r="A83" s="2" t="s">
        <v>622</v>
      </c>
      <c r="B83" s="2" t="s">
        <v>298</v>
      </c>
      <c r="C83" s="2" t="s">
        <v>16</v>
      </c>
      <c r="D83" s="2" t="s">
        <v>633</v>
      </c>
      <c r="E83" s="2"/>
      <c r="F83" s="2" t="s">
        <v>466</v>
      </c>
      <c r="G83" s="2"/>
      <c r="H83" s="2"/>
      <c r="I83" s="2" t="s">
        <v>466</v>
      </c>
      <c r="J83" s="2" t="s">
        <v>467</v>
      </c>
      <c r="K83" s="2" t="s">
        <v>12</v>
      </c>
      <c r="L83" s="2"/>
      <c r="M83" s="14"/>
    </row>
    <row r="84" customFormat="false" ht="45" hidden="false" customHeight="true" outlineLevel="0" collapsed="false">
      <c r="A84" s="2" t="s">
        <v>622</v>
      </c>
      <c r="B84" s="2" t="s">
        <v>301</v>
      </c>
      <c r="C84" s="2" t="s">
        <v>16</v>
      </c>
      <c r="D84" s="2" t="s">
        <v>634</v>
      </c>
      <c r="E84" s="2"/>
      <c r="F84" s="2" t="s">
        <v>466</v>
      </c>
      <c r="G84" s="2"/>
      <c r="H84" s="2"/>
      <c r="I84" s="2" t="s">
        <v>466</v>
      </c>
      <c r="J84" s="2" t="s">
        <v>467</v>
      </c>
      <c r="K84" s="2" t="s">
        <v>12</v>
      </c>
      <c r="L84" s="2" t="s">
        <v>635</v>
      </c>
      <c r="M84" s="14"/>
    </row>
    <row r="85" customFormat="false" ht="45" hidden="false" customHeight="true" outlineLevel="0" collapsed="false">
      <c r="A85" s="19" t="s">
        <v>636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customFormat="false" ht="45" hidden="false" customHeight="true" outlineLevel="0" collapsed="false">
      <c r="A86" s="2" t="s">
        <v>637</v>
      </c>
      <c r="B86" s="2" t="s">
        <v>305</v>
      </c>
      <c r="C86" s="2" t="s">
        <v>16</v>
      </c>
      <c r="D86" s="2" t="s">
        <v>638</v>
      </c>
      <c r="E86" s="2" t="s">
        <v>466</v>
      </c>
      <c r="F86" s="2" t="s">
        <v>466</v>
      </c>
      <c r="G86" s="2" t="s">
        <v>466</v>
      </c>
      <c r="H86" s="2"/>
      <c r="I86" s="2" t="s">
        <v>466</v>
      </c>
      <c r="J86" s="2" t="s">
        <v>467</v>
      </c>
      <c r="K86" s="2" t="s">
        <v>12</v>
      </c>
      <c r="L86" s="2" t="s">
        <v>639</v>
      </c>
      <c r="M86" s="14"/>
    </row>
    <row r="87" customFormat="false" ht="45" hidden="false" customHeight="true" outlineLevel="0" collapsed="false">
      <c r="A87" s="2" t="s">
        <v>637</v>
      </c>
      <c r="B87" s="2" t="s">
        <v>640</v>
      </c>
      <c r="C87" s="2" t="s">
        <v>10</v>
      </c>
      <c r="D87" s="2" t="s">
        <v>641</v>
      </c>
      <c r="E87" s="2" t="s">
        <v>466</v>
      </c>
      <c r="F87" s="2" t="s">
        <v>466</v>
      </c>
      <c r="G87" s="2"/>
      <c r="H87" s="2"/>
      <c r="I87" s="2"/>
      <c r="J87" s="2" t="s">
        <v>467</v>
      </c>
      <c r="K87" s="2" t="s">
        <v>12</v>
      </c>
      <c r="L87" s="2" t="s">
        <v>642</v>
      </c>
      <c r="M87" s="14"/>
    </row>
    <row r="88" customFormat="false" ht="21.75" hidden="false" customHeight="true" outlineLevel="0" collapsed="false">
      <c r="A88" s="2" t="s">
        <v>637</v>
      </c>
      <c r="B88" s="2" t="s">
        <v>311</v>
      </c>
      <c r="C88" s="2" t="s">
        <v>491</v>
      </c>
      <c r="D88" s="2" t="s">
        <v>643</v>
      </c>
      <c r="E88" s="2" t="s">
        <v>466</v>
      </c>
      <c r="F88" s="2" t="s">
        <v>466</v>
      </c>
      <c r="G88" s="2" t="s">
        <v>466</v>
      </c>
      <c r="H88" s="2" t="s">
        <v>466</v>
      </c>
      <c r="I88" s="2" t="s">
        <v>466</v>
      </c>
      <c r="J88" s="2" t="s">
        <v>493</v>
      </c>
      <c r="K88" s="2" t="s">
        <v>494</v>
      </c>
      <c r="L88" s="2" t="s">
        <v>644</v>
      </c>
      <c r="M88" s="14"/>
    </row>
    <row r="89" customFormat="false" ht="21.75" hidden="false" customHeight="true" outlineLevel="0" collapsed="false">
      <c r="A89" s="2" t="s">
        <v>637</v>
      </c>
      <c r="B89" s="2" t="s">
        <v>314</v>
      </c>
      <c r="C89" s="2" t="s">
        <v>491</v>
      </c>
      <c r="D89" s="2" t="s">
        <v>645</v>
      </c>
      <c r="E89" s="2" t="s">
        <v>466</v>
      </c>
      <c r="F89" s="2" t="s">
        <v>466</v>
      </c>
      <c r="G89" s="2" t="s">
        <v>466</v>
      </c>
      <c r="H89" s="2" t="s">
        <v>466</v>
      </c>
      <c r="I89" s="2" t="s">
        <v>466</v>
      </c>
      <c r="J89" s="2" t="s">
        <v>493</v>
      </c>
      <c r="K89" s="2" t="s">
        <v>494</v>
      </c>
      <c r="L89" s="2" t="s">
        <v>646</v>
      </c>
      <c r="M89" s="14"/>
    </row>
    <row r="90" customFormat="false" ht="21.75" hidden="false" customHeight="true" outlineLevel="0" collapsed="false">
      <c r="A90" s="2" t="s">
        <v>637</v>
      </c>
      <c r="B90" s="2" t="s">
        <v>317</v>
      </c>
      <c r="C90" s="2" t="s">
        <v>204</v>
      </c>
      <c r="D90" s="2" t="s">
        <v>647</v>
      </c>
      <c r="E90" s="2" t="s">
        <v>466</v>
      </c>
      <c r="F90" s="2" t="s">
        <v>466</v>
      </c>
      <c r="G90" s="2" t="s">
        <v>466</v>
      </c>
      <c r="H90" s="2" t="s">
        <v>466</v>
      </c>
      <c r="I90" s="2" t="s">
        <v>466</v>
      </c>
      <c r="J90" s="2" t="s">
        <v>467</v>
      </c>
      <c r="K90" s="2" t="s">
        <v>12</v>
      </c>
      <c r="L90" s="2" t="s">
        <v>648</v>
      </c>
      <c r="M90" s="14"/>
    </row>
    <row r="91" customFormat="false" ht="15" hidden="false" customHeight="true" outlineLevel="0" collapsed="false"/>
    <row r="92" customFormat="false" ht="15" hidden="false" customHeight="true" outlineLevel="0" collapsed="false"/>
    <row r="93" customFormat="false" ht="53.25" hidden="false" customHeight="true" outlineLevel="0" collapsed="false"/>
    <row r="94" customFormat="false" ht="84.75" hidden="false" customHeight="true" outlineLevel="0" collapsed="false">
      <c r="A94" s="22" t="s">
        <v>649</v>
      </c>
    </row>
    <row r="95" customFormat="false" ht="74.25" hidden="false" customHeight="true" outlineLevel="0" collapsed="false">
      <c r="A95" s="1" t="s">
        <v>434</v>
      </c>
      <c r="B95" s="1" t="s">
        <v>435</v>
      </c>
      <c r="C95" s="1" t="s">
        <v>650</v>
      </c>
      <c r="D95" s="1" t="s">
        <v>651</v>
      </c>
      <c r="E95" s="1" t="s">
        <v>6</v>
      </c>
      <c r="M95" s="14"/>
    </row>
    <row r="96" customFormat="false" ht="21.75" hidden="false" customHeight="true" outlineLevel="0" collapsed="false">
      <c r="A96" s="2" t="s">
        <v>652</v>
      </c>
      <c r="B96" s="2" t="n">
        <f aca="false">COUNTIF(J2:J90,"OSS")+COUNTIF(J2:J90,"OSS*")</f>
        <v>120</v>
      </c>
      <c r="C96" s="23" t="n">
        <f aca="false">B96/SUM(B96:B98)</f>
        <v>0.869565217391304</v>
      </c>
      <c r="D96" s="2" t="s">
        <v>653</v>
      </c>
      <c r="E96" s="2" t="s">
        <v>654</v>
      </c>
      <c r="M96" s="14"/>
    </row>
    <row r="97" customFormat="false" ht="74.25" hidden="false" customHeight="true" outlineLevel="0" collapsed="false">
      <c r="A97" s="2" t="s">
        <v>655</v>
      </c>
      <c r="B97" s="2" t="n">
        <f aca="false">COUNTIF(J2:J90,"COTS")</f>
        <v>3</v>
      </c>
      <c r="C97" s="23" t="n">
        <f aca="false">B97/SUM(B96:B98)</f>
        <v>0.0217391304347826</v>
      </c>
      <c r="D97" s="2" t="s">
        <v>656</v>
      </c>
      <c r="E97" s="2" t="s">
        <v>657</v>
      </c>
      <c r="M97" s="14"/>
    </row>
    <row r="98" customFormat="false" ht="23.25" hidden="false" customHeight="true" outlineLevel="0" collapsed="false">
      <c r="A98" s="2" t="s">
        <v>658</v>
      </c>
      <c r="B98" s="2" t="n">
        <f aca="false">COUNTIF(J2:J90,"Custom")+COUNTIF(J2:J90,"Custom*")</f>
        <v>15</v>
      </c>
      <c r="C98" s="23" t="n">
        <f aca="false">B98/SUM(B96:B98)</f>
        <v>0.108695652173913</v>
      </c>
      <c r="D98" s="2" t="s">
        <v>659</v>
      </c>
      <c r="E98" s="2" t="s">
        <v>660</v>
      </c>
      <c r="M98" s="14"/>
    </row>
    <row r="99" customFormat="false" ht="23.25" hidden="false" customHeight="true" outlineLevel="0" collapsed="false">
      <c r="A99" s="24" t="s">
        <v>661</v>
      </c>
      <c r="B99" s="25" t="n">
        <v>15</v>
      </c>
      <c r="C99" s="26" t="s">
        <v>662</v>
      </c>
      <c r="D99" s="27" t="s">
        <v>663</v>
      </c>
      <c r="E99" s="27"/>
      <c r="F99" s="27"/>
      <c r="G99" s="27"/>
      <c r="H99" s="27"/>
      <c r="I99" s="27"/>
      <c r="J99" s="27"/>
      <c r="K99" s="27"/>
      <c r="L99" s="27"/>
    </row>
  </sheetData>
  <mergeCells count="1">
    <mergeCell ref="A67:E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7" activeCellId="0" sqref="D7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32"/>
    <col collapsed="false" customWidth="true" hidden="false" outlineLevel="0" max="6" min="4" style="0" width="35"/>
    <col collapsed="false" customWidth="true" hidden="false" outlineLevel="0" max="7" min="7" style="0" width="14"/>
  </cols>
  <sheetData>
    <row r="1" customFormat="false" ht="19.5" hidden="false" customHeight="true" outlineLevel="0" collapsed="false">
      <c r="A1" s="28" t="s">
        <v>664</v>
      </c>
      <c r="B1" s="28"/>
      <c r="C1" s="28"/>
      <c r="D1" s="28"/>
      <c r="E1" s="28"/>
      <c r="F1" s="28"/>
      <c r="G1" s="28"/>
    </row>
    <row r="2" customFormat="false" ht="15" hidden="false" customHeight="true" outlineLevel="0" collapsed="false">
      <c r="A2" s="1" t="s">
        <v>665</v>
      </c>
      <c r="B2" s="1" t="s">
        <v>666</v>
      </c>
      <c r="C2" s="1" t="s">
        <v>667</v>
      </c>
      <c r="D2" s="1" t="s">
        <v>668</v>
      </c>
      <c r="E2" s="1" t="s">
        <v>669</v>
      </c>
      <c r="F2" s="1" t="s">
        <v>670</v>
      </c>
      <c r="G2" s="1" t="s">
        <v>671</v>
      </c>
    </row>
    <row r="3" customFormat="false" ht="49.5" hidden="false" customHeight="true" outlineLevel="0" collapsed="false">
      <c r="A3" s="2" t="s">
        <v>672</v>
      </c>
      <c r="B3" s="2" t="s">
        <v>673</v>
      </c>
      <c r="C3" s="2" t="s">
        <v>674</v>
      </c>
      <c r="D3" s="2" t="s">
        <v>675</v>
      </c>
      <c r="E3" s="2" t="s">
        <v>676</v>
      </c>
      <c r="F3" s="2" t="s">
        <v>677</v>
      </c>
      <c r="G3" s="2" t="s">
        <v>678</v>
      </c>
    </row>
    <row r="4" customFormat="false" ht="49.5" hidden="false" customHeight="true" outlineLevel="0" collapsed="false">
      <c r="A4" s="2" t="s">
        <v>679</v>
      </c>
      <c r="B4" s="2" t="s">
        <v>680</v>
      </c>
      <c r="C4" s="2" t="s">
        <v>681</v>
      </c>
      <c r="D4" s="2" t="s">
        <v>682</v>
      </c>
      <c r="E4" s="2" t="s">
        <v>683</v>
      </c>
      <c r="F4" s="2" t="s">
        <v>684</v>
      </c>
      <c r="G4" s="2" t="s">
        <v>685</v>
      </c>
    </row>
    <row r="5" customFormat="false" ht="49.5" hidden="false" customHeight="true" outlineLevel="0" collapsed="false">
      <c r="A5" s="2" t="s">
        <v>686</v>
      </c>
      <c r="B5" s="2" t="s">
        <v>687</v>
      </c>
      <c r="C5" s="2" t="s">
        <v>688</v>
      </c>
      <c r="D5" s="2" t="s">
        <v>689</v>
      </c>
      <c r="E5" s="2" t="s">
        <v>690</v>
      </c>
      <c r="F5" s="2" t="s">
        <v>691</v>
      </c>
      <c r="G5" s="2" t="s">
        <v>692</v>
      </c>
    </row>
    <row r="6" customFormat="false" ht="49.5" hidden="false" customHeight="true" outlineLevel="0" collapsed="false">
      <c r="A6" s="2" t="s">
        <v>693</v>
      </c>
      <c r="B6" s="2" t="s">
        <v>694</v>
      </c>
      <c r="C6" s="2" t="s">
        <v>695</v>
      </c>
      <c r="D6" s="2" t="s">
        <v>696</v>
      </c>
      <c r="E6" s="2" t="s">
        <v>697</v>
      </c>
      <c r="F6" s="2" t="s">
        <v>698</v>
      </c>
      <c r="G6" s="2" t="s">
        <v>699</v>
      </c>
    </row>
    <row r="7" customFormat="false" ht="49.5" hidden="false" customHeight="true" outlineLevel="0" collapsed="false">
      <c r="A7" s="2" t="s">
        <v>700</v>
      </c>
      <c r="B7" s="2" t="s">
        <v>701</v>
      </c>
      <c r="C7" s="2" t="s">
        <v>702</v>
      </c>
      <c r="D7" s="2" t="s">
        <v>703</v>
      </c>
      <c r="E7" s="2" t="s">
        <v>704</v>
      </c>
      <c r="F7" s="2" t="s">
        <v>705</v>
      </c>
      <c r="G7" s="2" t="s">
        <v>706</v>
      </c>
    </row>
    <row r="8" customFormat="false" ht="49.5" hidden="false" customHeight="true" outlineLevel="0" collapsed="false">
      <c r="A8" s="2" t="s">
        <v>707</v>
      </c>
      <c r="B8" s="2" t="s">
        <v>708</v>
      </c>
      <c r="C8" s="2" t="s">
        <v>709</v>
      </c>
      <c r="D8" s="2" t="s">
        <v>710</v>
      </c>
      <c r="E8" s="2" t="s">
        <v>711</v>
      </c>
      <c r="F8" s="2" t="s">
        <v>712</v>
      </c>
      <c r="G8" s="2" t="s">
        <v>713</v>
      </c>
    </row>
    <row r="9" customFormat="false" ht="49.5" hidden="false" customHeight="true" outlineLevel="0" collapsed="false">
      <c r="A9" s="2" t="s">
        <v>714</v>
      </c>
      <c r="B9" s="2" t="s">
        <v>715</v>
      </c>
      <c r="C9" s="2" t="s">
        <v>716</v>
      </c>
      <c r="D9" s="2" t="s">
        <v>717</v>
      </c>
      <c r="E9" s="2" t="s">
        <v>718</v>
      </c>
      <c r="F9" s="2" t="s">
        <v>719</v>
      </c>
      <c r="G9" s="2" t="s">
        <v>720</v>
      </c>
    </row>
    <row r="10" customFormat="false" ht="49.5" hidden="false" customHeight="true" outlineLevel="0" collapsed="false">
      <c r="A10" s="2" t="s">
        <v>721</v>
      </c>
      <c r="B10" s="2" t="s">
        <v>722</v>
      </c>
      <c r="C10" s="2" t="s">
        <v>723</v>
      </c>
      <c r="D10" s="2" t="s">
        <v>724</v>
      </c>
      <c r="E10" s="2" t="s">
        <v>725</v>
      </c>
      <c r="F10" s="2" t="s">
        <v>726</v>
      </c>
      <c r="G10" s="2" t="s">
        <v>727</v>
      </c>
    </row>
    <row r="11" customFormat="false" ht="49.5" hidden="false" customHeight="true" outlineLevel="0" collapsed="false">
      <c r="A11" s="2" t="s">
        <v>728</v>
      </c>
      <c r="B11" s="2" t="s">
        <v>729</v>
      </c>
      <c r="C11" s="2" t="s">
        <v>730</v>
      </c>
      <c r="D11" s="2" t="s">
        <v>731</v>
      </c>
      <c r="E11" s="2" t="s">
        <v>732</v>
      </c>
      <c r="F11" s="2" t="s">
        <v>733</v>
      </c>
      <c r="G11" s="2" t="s">
        <v>734</v>
      </c>
    </row>
    <row r="12" customFormat="false" ht="49.5" hidden="false" customHeight="true" outlineLevel="0" collapsed="false">
      <c r="A12" s="2" t="s">
        <v>735</v>
      </c>
      <c r="B12" s="2" t="s">
        <v>736</v>
      </c>
      <c r="C12" s="2" t="s">
        <v>737</v>
      </c>
      <c r="D12" s="2" t="s">
        <v>738</v>
      </c>
      <c r="E12" s="2" t="s">
        <v>739</v>
      </c>
      <c r="F12" s="2" t="s">
        <v>740</v>
      </c>
      <c r="G12" s="2" t="s">
        <v>741</v>
      </c>
    </row>
    <row r="13" customFormat="false" ht="49.5" hidden="false" customHeight="true" outlineLevel="0" collapsed="false">
      <c r="A13" s="2" t="s">
        <v>742</v>
      </c>
      <c r="B13" s="2" t="s">
        <v>743</v>
      </c>
      <c r="C13" s="2" t="s">
        <v>744</v>
      </c>
      <c r="D13" s="2" t="s">
        <v>745</v>
      </c>
      <c r="E13" s="2" t="s">
        <v>746</v>
      </c>
      <c r="F13" s="2" t="s">
        <v>747</v>
      </c>
      <c r="G13" s="2" t="s">
        <v>748</v>
      </c>
    </row>
    <row r="14" customFormat="false" ht="49.5" hidden="false" customHeight="true" outlineLevel="0" collapsed="false">
      <c r="A14" s="2" t="s">
        <v>749</v>
      </c>
      <c r="B14" s="2" t="s">
        <v>750</v>
      </c>
      <c r="C14" s="2" t="s">
        <v>751</v>
      </c>
      <c r="D14" s="2" t="s">
        <v>752</v>
      </c>
      <c r="E14" s="2" t="s">
        <v>753</v>
      </c>
      <c r="F14" s="2" t="s">
        <v>754</v>
      </c>
      <c r="G14" s="2" t="s">
        <v>755</v>
      </c>
    </row>
    <row r="15" customFormat="false" ht="49.5" hidden="false" customHeight="true" outlineLevel="0" collapsed="false">
      <c r="A15" s="2" t="s">
        <v>756</v>
      </c>
      <c r="B15" s="2" t="s">
        <v>757</v>
      </c>
      <c r="C15" s="2" t="s">
        <v>758</v>
      </c>
      <c r="D15" s="2" t="s">
        <v>759</v>
      </c>
      <c r="E15" s="2" t="s">
        <v>760</v>
      </c>
      <c r="F15" s="2" t="s">
        <v>761</v>
      </c>
      <c r="G15" s="2" t="s">
        <v>762</v>
      </c>
    </row>
    <row r="16" customFormat="false" ht="49.5" hidden="false" customHeight="true" outlineLevel="0" collapsed="false">
      <c r="A16" s="2" t="s">
        <v>763</v>
      </c>
      <c r="B16" s="2" t="s">
        <v>764</v>
      </c>
      <c r="C16" s="2" t="s">
        <v>765</v>
      </c>
      <c r="D16" s="2" t="s">
        <v>766</v>
      </c>
      <c r="E16" s="2" t="s">
        <v>767</v>
      </c>
      <c r="F16" s="2" t="s">
        <v>768</v>
      </c>
      <c r="G16" s="2" t="s">
        <v>769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0" sqref="C6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12.16"/>
    <col collapsed="false" customWidth="true" hidden="false" outlineLevel="0" max="2" min="2" style="0" width="25"/>
    <col collapsed="false" customWidth="true" hidden="false" outlineLevel="0" max="3" min="3" style="0" width="50"/>
    <col collapsed="false" customWidth="true" hidden="false" outlineLevel="0" max="4" min="4" style="0" width="45"/>
    <col collapsed="false" customWidth="true" hidden="false" outlineLevel="0" max="5" min="5" style="0" width="30"/>
  </cols>
  <sheetData>
    <row r="1" customFormat="false" ht="23.25" hidden="false" customHeight="true" outlineLevel="0" collapsed="false">
      <c r="A1" s="29" t="s">
        <v>770</v>
      </c>
      <c r="B1" s="29" t="s">
        <v>771</v>
      </c>
      <c r="C1" s="29" t="s">
        <v>772</v>
      </c>
      <c r="D1" s="29" t="s">
        <v>773</v>
      </c>
      <c r="E1" s="29" t="s">
        <v>774</v>
      </c>
    </row>
    <row r="2" customFormat="false" ht="54.75" hidden="false" customHeight="true" outlineLevel="0" collapsed="false">
      <c r="A2" s="2" t="s">
        <v>775</v>
      </c>
      <c r="B2" s="2" t="s">
        <v>776</v>
      </c>
      <c r="C2" s="2" t="s">
        <v>777</v>
      </c>
      <c r="D2" s="2" t="s">
        <v>778</v>
      </c>
      <c r="E2" s="2" t="s">
        <v>779</v>
      </c>
    </row>
    <row r="3" customFormat="false" ht="54.75" hidden="false" customHeight="true" outlineLevel="0" collapsed="false">
      <c r="A3" s="2" t="s">
        <v>780</v>
      </c>
      <c r="B3" s="2" t="s">
        <v>781</v>
      </c>
      <c r="C3" s="2" t="s">
        <v>782</v>
      </c>
      <c r="D3" s="2" t="s">
        <v>783</v>
      </c>
      <c r="E3" s="2" t="s">
        <v>784</v>
      </c>
    </row>
    <row r="4" customFormat="false" ht="54.75" hidden="false" customHeight="true" outlineLevel="0" collapsed="false">
      <c r="A4" s="2" t="s">
        <v>785</v>
      </c>
      <c r="B4" s="2" t="s">
        <v>786</v>
      </c>
      <c r="C4" s="2" t="s">
        <v>787</v>
      </c>
      <c r="D4" s="2" t="s">
        <v>788</v>
      </c>
      <c r="E4" s="2" t="s">
        <v>789</v>
      </c>
    </row>
    <row r="5" customFormat="false" ht="54.75" hidden="false" customHeight="true" outlineLevel="0" collapsed="false">
      <c r="A5" s="2" t="s">
        <v>790</v>
      </c>
      <c r="B5" s="2" t="s">
        <v>791</v>
      </c>
      <c r="C5" s="2" t="s">
        <v>792</v>
      </c>
      <c r="D5" s="2" t="s">
        <v>793</v>
      </c>
      <c r="E5" s="2" t="s">
        <v>794</v>
      </c>
    </row>
    <row r="6" customFormat="false" ht="54.75" hidden="false" customHeight="true" outlineLevel="0" collapsed="false">
      <c r="A6" s="2" t="s">
        <v>795</v>
      </c>
      <c r="B6" s="2" t="s">
        <v>796</v>
      </c>
      <c r="C6" s="2" t="s">
        <v>797</v>
      </c>
      <c r="D6" s="2" t="s">
        <v>798</v>
      </c>
      <c r="E6" s="2" t="s">
        <v>799</v>
      </c>
    </row>
    <row r="7" customFormat="false" ht="54.75" hidden="false" customHeight="true" outlineLevel="0" collapsed="false">
      <c r="A7" s="2" t="s">
        <v>800</v>
      </c>
      <c r="B7" s="2" t="s">
        <v>801</v>
      </c>
      <c r="C7" s="2" t="s">
        <v>802</v>
      </c>
      <c r="D7" s="2" t="s">
        <v>803</v>
      </c>
      <c r="E7" s="2" t="s">
        <v>804</v>
      </c>
    </row>
    <row r="8" customFormat="false" ht="54.75" hidden="false" customHeight="true" outlineLevel="0" collapsed="false">
      <c r="A8" s="2" t="s">
        <v>805</v>
      </c>
      <c r="B8" s="2" t="s">
        <v>806</v>
      </c>
      <c r="C8" s="2" t="s">
        <v>807</v>
      </c>
      <c r="D8" s="2" t="s">
        <v>808</v>
      </c>
      <c r="E8" s="2" t="s">
        <v>809</v>
      </c>
    </row>
    <row r="9" customFormat="false" ht="54.75" hidden="false" customHeight="true" outlineLevel="0" collapsed="false">
      <c r="A9" s="2" t="s">
        <v>810</v>
      </c>
      <c r="B9" s="2" t="s">
        <v>811</v>
      </c>
      <c r="C9" s="2" t="s">
        <v>812</v>
      </c>
      <c r="D9" s="2" t="s">
        <v>813</v>
      </c>
      <c r="E9" s="2" t="s">
        <v>814</v>
      </c>
    </row>
    <row r="10" customFormat="false" ht="54.75" hidden="false" customHeight="true" outlineLevel="0" collapsed="false">
      <c r="A10" s="2" t="s">
        <v>815</v>
      </c>
      <c r="B10" s="2" t="s">
        <v>816</v>
      </c>
      <c r="C10" s="2" t="s">
        <v>817</v>
      </c>
      <c r="D10" s="2" t="s">
        <v>818</v>
      </c>
      <c r="E10" s="2" t="s">
        <v>819</v>
      </c>
    </row>
    <row r="11" customFormat="false" ht="54.75" hidden="false" customHeight="true" outlineLevel="0" collapsed="false">
      <c r="A11" s="2" t="s">
        <v>820</v>
      </c>
      <c r="B11" s="2" t="s">
        <v>821</v>
      </c>
      <c r="C11" s="2" t="s">
        <v>822</v>
      </c>
      <c r="D11" s="2" t="s">
        <v>823</v>
      </c>
      <c r="E11" s="2" t="s">
        <v>824</v>
      </c>
    </row>
    <row r="12" customFormat="false" ht="54.75" hidden="false" customHeight="true" outlineLevel="0" collapsed="false">
      <c r="A12" s="2" t="s">
        <v>825</v>
      </c>
      <c r="B12" s="2" t="s">
        <v>826</v>
      </c>
      <c r="C12" s="2" t="s">
        <v>827</v>
      </c>
      <c r="D12" s="2" t="s">
        <v>828</v>
      </c>
      <c r="E12" s="2" t="s">
        <v>829</v>
      </c>
    </row>
    <row r="13" customFormat="false" ht="54.75" hidden="false" customHeight="true" outlineLevel="0" collapsed="false">
      <c r="A13" s="2" t="s">
        <v>830</v>
      </c>
      <c r="B13" s="2" t="s">
        <v>831</v>
      </c>
      <c r="C13" s="2" t="s">
        <v>832</v>
      </c>
      <c r="D13" s="2" t="s">
        <v>833</v>
      </c>
      <c r="E13" s="2" t="s">
        <v>834</v>
      </c>
    </row>
    <row r="14" customFormat="false" ht="54.75" hidden="false" customHeight="true" outlineLevel="0" collapsed="false">
      <c r="A14" s="2" t="s">
        <v>835</v>
      </c>
      <c r="B14" s="2" t="s">
        <v>836</v>
      </c>
      <c r="C14" s="2" t="s">
        <v>837</v>
      </c>
      <c r="D14" s="2" t="s">
        <v>838</v>
      </c>
      <c r="E14" s="2" t="s">
        <v>839</v>
      </c>
    </row>
    <row r="15" customFormat="false" ht="54.75" hidden="false" customHeight="true" outlineLevel="0" collapsed="false">
      <c r="A15" s="2" t="s">
        <v>840</v>
      </c>
      <c r="B15" s="2" t="s">
        <v>841</v>
      </c>
      <c r="C15" s="2" t="s">
        <v>842</v>
      </c>
      <c r="D15" s="2" t="s">
        <v>843</v>
      </c>
      <c r="E15" s="2" t="s">
        <v>844</v>
      </c>
    </row>
    <row r="16" customFormat="false" ht="54.75" hidden="false" customHeight="true" outlineLevel="0" collapsed="false">
      <c r="A16" s="2" t="s">
        <v>845</v>
      </c>
      <c r="B16" s="2" t="s">
        <v>846</v>
      </c>
      <c r="C16" s="2" t="s">
        <v>847</v>
      </c>
      <c r="D16" s="2" t="s">
        <v>848</v>
      </c>
      <c r="E16" s="2" t="s">
        <v>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0"/>
  </cols>
  <sheetData>
    <row r="1" customFormat="false" ht="19.5" hidden="false" customHeight="true" outlineLevel="0" collapsed="false">
      <c r="A1" s="28" t="s">
        <v>850</v>
      </c>
      <c r="B1" s="28"/>
    </row>
    <row r="3" customFormat="false" ht="18" hidden="false" customHeight="true" outlineLevel="0" collapsed="false">
      <c r="A3" s="30" t="s">
        <v>851</v>
      </c>
      <c r="B3" s="30"/>
    </row>
    <row r="4" customFormat="false" ht="21.75" hidden="false" customHeight="true" outlineLevel="0" collapsed="false">
      <c r="B4" s="31" t="s">
        <v>852</v>
      </c>
    </row>
    <row r="5" customFormat="false" ht="21.75" hidden="false" customHeight="true" outlineLevel="0" collapsed="false">
      <c r="B5" s="31" t="s">
        <v>853</v>
      </c>
    </row>
    <row r="6" customFormat="false" ht="21.75" hidden="false" customHeight="true" outlineLevel="0" collapsed="false">
      <c r="B6" s="31" t="s">
        <v>854</v>
      </c>
    </row>
    <row r="7" customFormat="false" ht="21.75" hidden="false" customHeight="true" outlineLevel="0" collapsed="false">
      <c r="B7" s="31" t="s">
        <v>855</v>
      </c>
    </row>
    <row r="9" customFormat="false" ht="18" hidden="false" customHeight="true" outlineLevel="0" collapsed="false">
      <c r="A9" s="30" t="s">
        <v>856</v>
      </c>
      <c r="B9" s="30"/>
    </row>
    <row r="10" customFormat="false" ht="21.75" hidden="false" customHeight="true" outlineLevel="0" collapsed="false">
      <c r="B10" s="31" t="s">
        <v>857</v>
      </c>
    </row>
    <row r="11" customFormat="false" ht="21.75" hidden="false" customHeight="true" outlineLevel="0" collapsed="false">
      <c r="B11" s="31" t="s">
        <v>858</v>
      </c>
    </row>
    <row r="12" customFormat="false" ht="21.75" hidden="false" customHeight="true" outlineLevel="0" collapsed="false">
      <c r="B12" s="31" t="s">
        <v>859</v>
      </c>
    </row>
    <row r="13" customFormat="false" ht="21.75" hidden="false" customHeight="true" outlineLevel="0" collapsed="false">
      <c r="B13" s="31" t="s">
        <v>860</v>
      </c>
    </row>
    <row r="14" customFormat="false" ht="21.75" hidden="false" customHeight="true" outlineLevel="0" collapsed="false">
      <c r="B14" s="31" t="s">
        <v>861</v>
      </c>
    </row>
    <row r="16" customFormat="false" ht="18" hidden="false" customHeight="true" outlineLevel="0" collapsed="false">
      <c r="A16" s="30" t="s">
        <v>862</v>
      </c>
      <c r="B16" s="30"/>
    </row>
    <row r="17" customFormat="false" ht="21.75" hidden="false" customHeight="true" outlineLevel="0" collapsed="false">
      <c r="B17" s="31" t="s">
        <v>863</v>
      </c>
    </row>
    <row r="18" customFormat="false" ht="21.75" hidden="false" customHeight="true" outlineLevel="0" collapsed="false">
      <c r="B18" s="31" t="s">
        <v>864</v>
      </c>
    </row>
    <row r="19" customFormat="false" ht="21.75" hidden="false" customHeight="true" outlineLevel="0" collapsed="false">
      <c r="B19" s="31" t="s">
        <v>865</v>
      </c>
    </row>
    <row r="20" customFormat="false" ht="21.75" hidden="false" customHeight="true" outlineLevel="0" collapsed="false">
      <c r="B20" s="31" t="s">
        <v>866</v>
      </c>
    </row>
    <row r="21" customFormat="false" ht="21.75" hidden="false" customHeight="true" outlineLevel="0" collapsed="false">
      <c r="B21" s="31" t="s">
        <v>867</v>
      </c>
    </row>
    <row r="22" customFormat="false" ht="21.75" hidden="false" customHeight="true" outlineLevel="0" collapsed="false">
      <c r="B22" s="31" t="s">
        <v>868</v>
      </c>
    </row>
    <row r="24" customFormat="false" ht="18" hidden="false" customHeight="true" outlineLevel="0" collapsed="false">
      <c r="A24" s="30" t="s">
        <v>869</v>
      </c>
      <c r="B24" s="30"/>
    </row>
    <row r="25" customFormat="false" ht="21.75" hidden="false" customHeight="true" outlineLevel="0" collapsed="false">
      <c r="B25" s="31" t="s">
        <v>870</v>
      </c>
    </row>
    <row r="26" customFormat="false" ht="21.75" hidden="false" customHeight="true" outlineLevel="0" collapsed="false">
      <c r="B26" s="31" t="s">
        <v>871</v>
      </c>
    </row>
    <row r="27" customFormat="false" ht="21.75" hidden="false" customHeight="true" outlineLevel="0" collapsed="false">
      <c r="B27" s="31" t="s">
        <v>872</v>
      </c>
    </row>
    <row r="28" customFormat="false" ht="21.75" hidden="false" customHeight="true" outlineLevel="0" collapsed="false">
      <c r="B28" s="31" t="s">
        <v>873</v>
      </c>
    </row>
    <row r="29" customFormat="false" ht="21.75" hidden="false" customHeight="true" outlineLevel="0" collapsed="false">
      <c r="B29" s="31" t="s">
        <v>874</v>
      </c>
    </row>
    <row r="31" customFormat="false" ht="18" hidden="false" customHeight="true" outlineLevel="0" collapsed="false">
      <c r="A31" s="30" t="s">
        <v>875</v>
      </c>
      <c r="B31" s="30"/>
    </row>
    <row r="32" customFormat="false" ht="21.75" hidden="false" customHeight="true" outlineLevel="0" collapsed="false">
      <c r="B32" s="31" t="s">
        <v>876</v>
      </c>
    </row>
    <row r="33" customFormat="false" ht="21.75" hidden="false" customHeight="true" outlineLevel="0" collapsed="false">
      <c r="B33" s="31" t="s">
        <v>877</v>
      </c>
    </row>
    <row r="34" customFormat="false" ht="21.75" hidden="false" customHeight="true" outlineLevel="0" collapsed="false">
      <c r="B34" s="31" t="s">
        <v>878</v>
      </c>
    </row>
    <row r="35" customFormat="false" ht="21.75" hidden="false" customHeight="true" outlineLevel="0" collapsed="false">
      <c r="B35" s="31" t="s">
        <v>879</v>
      </c>
    </row>
    <row r="36" customFormat="false" ht="21.75" hidden="false" customHeight="true" outlineLevel="0" collapsed="false">
      <c r="B36" s="31" t="s">
        <v>880</v>
      </c>
    </row>
    <row r="38" customFormat="false" ht="18" hidden="false" customHeight="true" outlineLevel="0" collapsed="false">
      <c r="A38" s="30" t="s">
        <v>881</v>
      </c>
      <c r="B38" s="30"/>
    </row>
    <row r="39" customFormat="false" ht="21.75" hidden="false" customHeight="true" outlineLevel="0" collapsed="false">
      <c r="B39" s="31" t="s">
        <v>882</v>
      </c>
    </row>
    <row r="40" customFormat="false" ht="21.75" hidden="false" customHeight="true" outlineLevel="0" collapsed="false">
      <c r="B40" s="31" t="s">
        <v>883</v>
      </c>
    </row>
    <row r="41" customFormat="false" ht="21.75" hidden="false" customHeight="true" outlineLevel="0" collapsed="false">
      <c r="B41" s="31" t="s">
        <v>884</v>
      </c>
    </row>
    <row r="42" customFormat="false" ht="21.75" hidden="false" customHeight="true" outlineLevel="0" collapsed="false">
      <c r="B42" s="31" t="s">
        <v>885</v>
      </c>
    </row>
    <row r="43" customFormat="false" ht="21.75" hidden="false" customHeight="true" outlineLevel="0" collapsed="false">
      <c r="B43" s="31" t="s">
        <v>886</v>
      </c>
    </row>
    <row r="45" customFormat="false" ht="18" hidden="false" customHeight="true" outlineLevel="0" collapsed="false">
      <c r="A45" s="30" t="s">
        <v>887</v>
      </c>
      <c r="B45" s="30"/>
    </row>
    <row r="46" customFormat="false" ht="21.75" hidden="false" customHeight="true" outlineLevel="0" collapsed="false">
      <c r="B46" s="31" t="s">
        <v>888</v>
      </c>
    </row>
    <row r="47" customFormat="false" ht="21.75" hidden="false" customHeight="true" outlineLevel="0" collapsed="false">
      <c r="B47" s="31" t="s">
        <v>889</v>
      </c>
    </row>
    <row r="48" customFormat="false" ht="21.75" hidden="false" customHeight="true" outlineLevel="0" collapsed="false">
      <c r="B48" s="31" t="s">
        <v>890</v>
      </c>
    </row>
    <row r="49" customFormat="false" ht="21.75" hidden="false" customHeight="true" outlineLevel="0" collapsed="false">
      <c r="B49" s="31" t="s">
        <v>891</v>
      </c>
    </row>
    <row r="50" customFormat="false" ht="21.75" hidden="false" customHeight="true" outlineLevel="0" collapsed="false">
      <c r="B50" s="31" t="s">
        <v>892</v>
      </c>
    </row>
    <row r="51" customFormat="false" ht="21.75" hidden="false" customHeight="true" outlineLevel="0" collapsed="false">
      <c r="B51" s="31" t="s">
        <v>893</v>
      </c>
    </row>
    <row r="52" customFormat="false" ht="21.75" hidden="false" customHeight="true" outlineLevel="0" collapsed="false">
      <c r="B52" s="31" t="s">
        <v>894</v>
      </c>
    </row>
    <row r="53" customFormat="false" ht="21.75" hidden="false" customHeight="true" outlineLevel="0" collapsed="false">
      <c r="B53" s="31" t="s">
        <v>895</v>
      </c>
    </row>
    <row r="54" customFormat="false" ht="21.75" hidden="false" customHeight="true" outlineLevel="0" collapsed="false">
      <c r="B54" s="31" t="s">
        <v>896</v>
      </c>
    </row>
    <row r="55" customFormat="false" ht="21.75" hidden="false" customHeight="true" outlineLevel="0" collapsed="false">
      <c r="B55" s="31" t="s">
        <v>897</v>
      </c>
    </row>
    <row r="56" customFormat="false" ht="21.75" hidden="false" customHeight="true" outlineLevel="0" collapsed="false">
      <c r="B56" s="31" t="s">
        <v>898</v>
      </c>
    </row>
    <row r="57" customFormat="false" ht="21.75" hidden="false" customHeight="true" outlineLevel="0" collapsed="false">
      <c r="B57" s="31" t="s">
        <v>899</v>
      </c>
    </row>
    <row r="58" customFormat="false" ht="21.75" hidden="false" customHeight="true" outlineLevel="0" collapsed="false">
      <c r="B58" s="31" t="s">
        <v>900</v>
      </c>
    </row>
    <row r="60" customFormat="false" ht="18" hidden="false" customHeight="true" outlineLevel="0" collapsed="false">
      <c r="A60" s="30" t="s">
        <v>901</v>
      </c>
      <c r="B60" s="30"/>
    </row>
    <row r="61" customFormat="false" ht="21.75" hidden="false" customHeight="true" outlineLevel="0" collapsed="false">
      <c r="B61" s="31" t="s">
        <v>902</v>
      </c>
    </row>
    <row r="62" customFormat="false" ht="42" hidden="false" customHeight="true" outlineLevel="0" collapsed="false">
      <c r="A62" s="32" t="s">
        <v>903</v>
      </c>
      <c r="B62" s="33" t="s">
        <v>904</v>
      </c>
    </row>
    <row r="63" customFormat="false" ht="21.75" hidden="false" customHeight="true" outlineLevel="0" collapsed="false">
      <c r="B63" s="31" t="s">
        <v>905</v>
      </c>
    </row>
  </sheetData>
  <mergeCells count="9">
    <mergeCell ref="A1:B1"/>
    <mergeCell ref="A3:B3"/>
    <mergeCell ref="A9:B9"/>
    <mergeCell ref="A16:B16"/>
    <mergeCell ref="A24:B24"/>
    <mergeCell ref="A31:B31"/>
    <mergeCell ref="A38:B38"/>
    <mergeCell ref="A45:B45"/>
    <mergeCell ref="A60:B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2026-05-21T02:37:36Z</dcterms:created>
  <dc:creator>openpyxl</dc:creator>
  <dc:description/>
  <dc:language>en-US</dc:language>
  <cp:lastModifiedBy>Vansh Khanna</cp:lastModifiedBy>
  <dcterms:modified xsi:type="dcterms:W3CDTF">2026-06-17T17:20:08Z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